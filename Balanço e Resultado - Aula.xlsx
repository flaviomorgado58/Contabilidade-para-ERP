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 1 Aulas\Administração e Economia\Contabilidade\"/>
    </mc:Choice>
  </mc:AlternateContent>
  <xr:revisionPtr revIDLastSave="0" documentId="13_ncr:1_{46725C08-8DAA-4A19-AFBA-6E767BF5B5C9}" xr6:coauthVersionLast="47" xr6:coauthVersionMax="47" xr10:uidLastSave="{00000000-0000-0000-0000-000000000000}"/>
  <bookViews>
    <workbookView xWindow="-108" yWindow="-108" windowWidth="23256" windowHeight="12456" firstSheet="3" activeTab="6" xr2:uid="{017C026A-E40C-4A1E-A51F-64C1A1E647F3}"/>
  </bookViews>
  <sheets>
    <sheet name="Demonstr. Financ." sheetId="11" r:id="rId1"/>
    <sheet name="Fluxos" sheetId="12" r:id="rId2"/>
    <sheet name="Balanço e resultado - Aula" sheetId="8" r:id="rId3"/>
    <sheet name="Indicadores (exercício)" sheetId="5" r:id="rId4"/>
    <sheet name="Fatos contábeis" sheetId="2" r:id="rId5"/>
    <sheet name="Razonetes" sheetId="13" r:id="rId6"/>
    <sheet name="Balanço e resultado" sheetId="14" r:id="rId7"/>
    <sheet name="Indicadores" sheetId="4" r:id="rId8"/>
  </sheets>
  <definedNames>
    <definedName name="_xlnm.Print_Area" localSheetId="6">'Balanço e resultado'!$M$1:$S$14</definedName>
    <definedName name="_xlnm.Print_Area" localSheetId="2">'Balanço e resultado - Aula'!$A$1:$G$14</definedName>
    <definedName name="_xlnm.Print_Area" localSheetId="0">'Demonstr. Financ.'!$A$1:$G$14</definedName>
    <definedName name="_xlnm.Print_Area" localSheetId="4">'Fatos contábeis'!$M$1:$S$14</definedName>
    <definedName name="_xlnm.Print_Area" localSheetId="1">Fluxos!$A$1:$G$14</definedName>
    <definedName name="_xlnm.Print_Area" localSheetId="5">Razonetes!$M$1:$S$14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9" i="14" l="1"/>
  <c r="P8" i="14"/>
  <c r="P6" i="14"/>
  <c r="N6" i="14"/>
  <c r="S5" i="14"/>
  <c r="S9" i="14" s="1"/>
  <c r="S14" i="14" s="1"/>
  <c r="N4" i="14"/>
  <c r="P3" i="14"/>
  <c r="P14" i="14" s="1"/>
  <c r="N3" i="14"/>
  <c r="N14" i="14" s="1"/>
  <c r="S9" i="13"/>
  <c r="S14" i="13" s="1"/>
  <c r="N9" i="13"/>
  <c r="P8" i="13"/>
  <c r="P6" i="13"/>
  <c r="P3" i="13" s="1"/>
  <c r="P14" i="13" s="1"/>
  <c r="N6" i="13"/>
  <c r="N3" i="13" s="1"/>
  <c r="N14" i="13" s="1"/>
  <c r="S5" i="13"/>
  <c r="N4" i="13"/>
  <c r="N3" i="2"/>
  <c r="N6" i="2"/>
  <c r="B9" i="12" l="1"/>
  <c r="D8" i="12"/>
  <c r="G5" i="12"/>
  <c r="G9" i="12" s="1"/>
  <c r="G14" i="12" s="1"/>
  <c r="D3" i="12"/>
  <c r="D14" i="12" s="1"/>
  <c r="B3" i="12"/>
  <c r="B14" i="12" s="1"/>
  <c r="B9" i="11"/>
  <c r="D8" i="11"/>
  <c r="G5" i="11"/>
  <c r="G9" i="11" s="1"/>
  <c r="G14" i="11" s="1"/>
  <c r="D3" i="11"/>
  <c r="D14" i="11" s="1"/>
  <c r="B3" i="11"/>
  <c r="B14" i="11" s="1"/>
  <c r="B9" i="8"/>
  <c r="D8" i="8"/>
  <c r="B3" i="8"/>
  <c r="G5" i="8"/>
  <c r="G9" i="8" s="1"/>
  <c r="G14" i="8" s="1"/>
  <c r="D3" i="8"/>
  <c r="D14" i="8" s="1"/>
  <c r="B14" i="8" l="1"/>
  <c r="J4" i="5"/>
  <c r="J2" i="5"/>
  <c r="P6" i="2" l="1"/>
  <c r="N4" i="2"/>
  <c r="N9" i="2" l="1"/>
  <c r="P8" i="2" l="1"/>
  <c r="S5" i="2"/>
  <c r="P3" i="2"/>
  <c r="N14" i="2" l="1"/>
  <c r="G4" i="4" s="1"/>
  <c r="J4" i="4" s="1"/>
  <c r="G2" i="4"/>
  <c r="J2" i="4" s="1"/>
  <c r="P14" i="2"/>
  <c r="S9" i="2"/>
  <c r="G14" i="4" l="1"/>
  <c r="S14" i="2"/>
  <c r="I6" i="4"/>
  <c r="E14" i="4" l="1"/>
  <c r="I13" i="4" s="1"/>
  <c r="I10" i="4"/>
  <c r="I8" i="4"/>
</calcChain>
</file>

<file path=xl/sharedStrings.xml><?xml version="1.0" encoding="utf-8"?>
<sst xmlns="http://schemas.openxmlformats.org/spreadsheetml/2006/main" count="313" uniqueCount="81">
  <si>
    <t>BALANÇO PATRIMONIAL (31/12)</t>
  </si>
  <si>
    <t>DEMONSTRAÇÃO DO RESULTADO</t>
  </si>
  <si>
    <t>ATIVO (Bens e direitos)</t>
  </si>
  <si>
    <t>PASSIVO (Obrigações)</t>
  </si>
  <si>
    <t>DO EXERCÍCIO</t>
  </si>
  <si>
    <t>FATOS CONTÁBEIS</t>
  </si>
  <si>
    <t>Circulante</t>
  </si>
  <si>
    <t>Receitas</t>
  </si>
  <si>
    <t>Abertura da empresa R$ 100.000, em cheque</t>
  </si>
  <si>
    <t xml:space="preserve">   Caixa e bancos</t>
  </si>
  <si>
    <t xml:space="preserve">   Fornecedores</t>
  </si>
  <si>
    <t>( - ) Imposto sobre venda</t>
  </si>
  <si>
    <t>Compra de equipamento R$ 80.000, em cheque</t>
  </si>
  <si>
    <t xml:space="preserve">   Pessoal a pagar</t>
  </si>
  <si>
    <t>Receita Operacional Líquida</t>
  </si>
  <si>
    <t>Compra de estoque R$ 40.000, a prazo</t>
  </si>
  <si>
    <t xml:space="preserve">   Contas a receber</t>
  </si>
  <si>
    <t xml:space="preserve">   Empréstimos</t>
  </si>
  <si>
    <t>( - ) Custo do material</t>
  </si>
  <si>
    <t>Empréstimo bancário R$ 40.000, em duas parcelas de R$ 21.000</t>
  </si>
  <si>
    <t xml:space="preserve">   Estoques</t>
  </si>
  <si>
    <t xml:space="preserve">   Imposto a pagar</t>
  </si>
  <si>
    <t>( - ) Custo de mão de obra</t>
  </si>
  <si>
    <t>Venda de produto, a prazo, por R$ 40.000, sendo 
R$ 4.000 o imposto sobre venda</t>
  </si>
  <si>
    <t>Não circulante</t>
  </si>
  <si>
    <t>( - ) Despesa administrativa</t>
  </si>
  <si>
    <t>R$ 20.000 o custo de material e 
R$ 4.000 o custo de mão de obra</t>
  </si>
  <si>
    <t xml:space="preserve">   Passivos longo prazo</t>
  </si>
  <si>
    <t>Margem operacional</t>
  </si>
  <si>
    <t>Despesa administrativa de R$ 1.000, em cheque</t>
  </si>
  <si>
    <t xml:space="preserve">   Equipamentos</t>
  </si>
  <si>
    <t>PATRIMÔNIO LÍQUIDO</t>
  </si>
  <si>
    <t>( - ) Despesa financeira</t>
  </si>
  <si>
    <t>Pagamento da primeira parcela do empréstimo</t>
  </si>
  <si>
    <t xml:space="preserve">   Imóveis</t>
  </si>
  <si>
    <t>Capital</t>
  </si>
  <si>
    <t>Encerramento (balancete)</t>
  </si>
  <si>
    <t>Lucros acumulados</t>
  </si>
  <si>
    <t>TOTAL ATIVO</t>
  </si>
  <si>
    <t>TOTAL PASSIVO + PL</t>
  </si>
  <si>
    <t>Lucro</t>
  </si>
  <si>
    <t>A = P + PL</t>
  </si>
  <si>
    <t>A - P = PL</t>
  </si>
  <si>
    <t>Receitas (Vendas)</t>
  </si>
  <si>
    <t>INDICADORES</t>
  </si>
  <si>
    <t>Interpretações</t>
  </si>
  <si>
    <t xml:space="preserve">Liquidez corrente (R$) = AC / PC = </t>
  </si>
  <si>
    <t xml:space="preserve">Endividamento geral (R$) = Passivo total / Ativo total = </t>
  </si>
  <si>
    <t>(% de margem operacional)</t>
  </si>
  <si>
    <t>(% de retorno do investimento)</t>
  </si>
  <si>
    <t>Lucro Líquido</t>
  </si>
  <si>
    <t>*</t>
  </si>
  <si>
    <t>Receita Operacional</t>
  </si>
  <si>
    <t>=</t>
  </si>
  <si>
    <t>Ativo Total</t>
  </si>
  <si>
    <t>Margem líquida</t>
  </si>
  <si>
    <t>Giro</t>
  </si>
  <si>
    <t xml:space="preserve">Margem operacional (%) = Resultado operacional / Receitas líquidas= </t>
  </si>
  <si>
    <t>Equação fundamental da contabilidade</t>
  </si>
  <si>
    <t xml:space="preserve">   ( - ) Depreciação</t>
  </si>
  <si>
    <t xml:space="preserve">Retorno do Ativo (%) = Lucro Líquido / Ativo total = </t>
  </si>
  <si>
    <t>Receita Líquida</t>
  </si>
  <si>
    <t xml:space="preserve">Margem operacional (%) = Margem operacional (R$) / Receita Líquida= </t>
  </si>
  <si>
    <t>(% de retorno do Ativo)</t>
  </si>
  <si>
    <t>RAZONETES</t>
  </si>
  <si>
    <t>ATIVO</t>
  </si>
  <si>
    <t>PASSIVO</t>
  </si>
  <si>
    <t>RESULTADO</t>
  </si>
  <si>
    <t>Razonete</t>
  </si>
  <si>
    <t>Abertura da empresa $ 100.000, em dinheiro</t>
  </si>
  <si>
    <t>Compra de equipamento $ 80.000, a vista</t>
  </si>
  <si>
    <t>Compra de estoque $ 40.000, a prazo. ICMS = 10%</t>
  </si>
  <si>
    <t>Empréstimo bancário $ 40.000, em duas parcelas de $ 21.000</t>
  </si>
  <si>
    <t xml:space="preserve">Venda de produto, a prazo, por $ 40.000, sendo 
</t>
  </si>
  <si>
    <t xml:space="preserve">$ 20.000 o custo de material e </t>
  </si>
  <si>
    <t>$ 4.000 o custo de mão de obra</t>
  </si>
  <si>
    <t>Despesa administrativa de R$ 1.000, em dinheiro</t>
  </si>
  <si>
    <t>A = P + PL         A - P = PL</t>
  </si>
  <si>
    <t xml:space="preserve">   ICMS retido</t>
  </si>
  <si>
    <t xml:space="preserve">   ( - ) Depreciação Ac.</t>
  </si>
  <si>
    <t xml:space="preserve">   Impostos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</si>
</sst>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;\(#,##0\)"/>
    <numFmt numFmtId="165" formatCode="0.0%"/>
    <numFmt numFmtId="166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86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2" fillId="0" borderId="4" xfId="0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5" xfId="0" applyFont="1" applyBorder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/>
    <xf numFmtId="0" fontId="3" fillId="0" borderId="0" xfId="0" applyFont="1" applyAlignment="1">
      <alignment horizontal="justify" vertical="top" wrapText="1"/>
    </xf>
    <xf numFmtId="0" fontId="1" fillId="0" borderId="6" xfId="0" applyFont="1" applyBorder="1" applyAlignment="1">
      <alignment vertical="top"/>
    </xf>
    <xf numFmtId="164" fontId="1" fillId="0" borderId="7" xfId="0" applyNumberFormat="1" applyFont="1" applyBorder="1" applyAlignment="1">
      <alignment vertical="top"/>
    </xf>
    <xf numFmtId="164" fontId="1" fillId="0" borderId="0" xfId="0" applyNumberFormat="1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64" fontId="1" fillId="0" borderId="8" xfId="0" applyNumberFormat="1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8" xfId="0" applyNumberFormat="1" applyFont="1" applyBorder="1"/>
    <xf numFmtId="0" fontId="2" fillId="0" borderId="0" xfId="0" applyFont="1"/>
    <xf numFmtId="164" fontId="2" fillId="0" borderId="0" xfId="0" applyNumberFormat="1" applyFont="1"/>
    <xf numFmtId="0" fontId="2" fillId="0" borderId="6" xfId="0" applyFont="1" applyBorder="1"/>
    <xf numFmtId="3" fontId="2" fillId="0" borderId="0" xfId="0" applyNumberFormat="1" applyFont="1"/>
    <xf numFmtId="0" fontId="5" fillId="0" borderId="0" xfId="0" applyFont="1" applyAlignment="1">
      <alignment vertical="top"/>
    </xf>
    <xf numFmtId="44" fontId="3" fillId="2" borderId="0" xfId="2" applyFont="1" applyFill="1"/>
    <xf numFmtId="0" fontId="3" fillId="0" borderId="0" xfId="0" applyFont="1"/>
    <xf numFmtId="165" fontId="3" fillId="2" borderId="0" xfId="3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/>
    <xf numFmtId="166" fontId="0" fillId="0" borderId="0" xfId="1" applyNumberFormat="1" applyFont="1"/>
    <xf numFmtId="0" fontId="7" fillId="0" borderId="0" xfId="0" applyFont="1"/>
    <xf numFmtId="165" fontId="3" fillId="2" borderId="0" xfId="3" applyNumberFormat="1" applyFont="1" applyFill="1" applyAlignment="1">
      <alignment horizontal="center" vertical="center"/>
    </xf>
    <xf numFmtId="2" fontId="3" fillId="2" borderId="0" xfId="4" applyNumberFormat="1" applyFont="1" applyFill="1" applyAlignment="1">
      <alignment horizontal="center" vertical="center"/>
    </xf>
    <xf numFmtId="0" fontId="3" fillId="2" borderId="0" xfId="2" applyNumberFormat="1" applyFont="1" applyFill="1"/>
    <xf numFmtId="0" fontId="8" fillId="0" borderId="0" xfId="0" applyFont="1"/>
    <xf numFmtId="0" fontId="11" fillId="0" borderId="4" xfId="0" applyFont="1" applyBorder="1" applyAlignment="1">
      <alignment vertical="top"/>
    </xf>
    <xf numFmtId="164" fontId="11" fillId="0" borderId="0" xfId="0" applyNumberFormat="1" applyFont="1" applyAlignment="1">
      <alignment vertical="top"/>
    </xf>
    <xf numFmtId="0" fontId="11" fillId="0" borderId="5" xfId="0" applyFont="1" applyBorder="1" applyAlignment="1">
      <alignment vertical="top"/>
    </xf>
    <xf numFmtId="0" fontId="12" fillId="0" borderId="0" xfId="0" applyFont="1" applyAlignment="1">
      <alignment vertical="top"/>
    </xf>
    <xf numFmtId="164" fontId="12" fillId="0" borderId="0" xfId="0" applyNumberFormat="1" applyFont="1" applyAlignment="1">
      <alignment vertical="top"/>
    </xf>
    <xf numFmtId="0" fontId="12" fillId="0" borderId="6" xfId="0" applyFont="1" applyBorder="1" applyAlignment="1">
      <alignment vertical="top"/>
    </xf>
    <xf numFmtId="164" fontId="12" fillId="0" borderId="7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/>
    </xf>
    <xf numFmtId="164" fontId="12" fillId="0" borderId="8" xfId="0" applyNumberFormat="1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164" fontId="12" fillId="0" borderId="1" xfId="0" applyNumberFormat="1" applyFont="1" applyBorder="1" applyAlignment="1">
      <alignment vertical="top"/>
    </xf>
    <xf numFmtId="164" fontId="12" fillId="0" borderId="0" xfId="0" applyNumberFormat="1" applyFont="1"/>
    <xf numFmtId="0" fontId="12" fillId="0" borderId="5" xfId="0" applyFont="1" applyBorder="1" applyAlignment="1">
      <alignment vertical="top"/>
    </xf>
    <xf numFmtId="3" fontId="12" fillId="0" borderId="0" xfId="0" applyNumberFormat="1" applyFont="1" applyAlignment="1">
      <alignment vertical="top"/>
    </xf>
    <xf numFmtId="164" fontId="12" fillId="0" borderId="8" xfId="0" applyNumberFormat="1" applyFont="1" applyBorder="1"/>
    <xf numFmtId="0" fontId="11" fillId="0" borderId="0" xfId="0" applyFont="1"/>
    <xf numFmtId="0" fontId="13" fillId="0" borderId="0" xfId="0" applyFont="1"/>
    <xf numFmtId="0" fontId="3" fillId="2" borderId="0" xfId="0" applyFont="1" applyFill="1" applyAlignment="1">
      <alignment horizontal="left" wrapText="1"/>
    </xf>
    <xf numFmtId="0" fontId="10" fillId="0" borderId="0" xfId="0" applyFont="1" applyAlignment="1">
      <alignment horizontal="justify" vertical="top" wrapText="1"/>
    </xf>
    <xf numFmtId="164" fontId="2" fillId="2" borderId="0" xfId="0" applyNumberFormat="1" applyFont="1" applyFill="1"/>
    <xf numFmtId="3" fontId="2" fillId="2" borderId="0" xfId="0" applyNumberFormat="1" applyFont="1" applyFill="1"/>
    <xf numFmtId="164" fontId="1" fillId="2" borderId="0" xfId="0" applyNumberFormat="1" applyFont="1" applyFill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0" fillId="0" borderId="12" xfId="0" applyBorder="1"/>
    <xf numFmtId="0" fontId="14" fillId="0" borderId="0" xfId="0" applyFont="1" applyBorder="1" applyAlignment="1">
      <alignment horizontal="center"/>
    </xf>
    <xf numFmtId="0" fontId="0" fillId="0" borderId="0" xfId="0" applyBorder="1"/>
    <xf numFmtId="164" fontId="1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164" fontId="1" fillId="0" borderId="12" xfId="0" applyNumberFormat="1" applyFont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</cellXfs>
  <cellStyles count="5">
    <cellStyle name="Moeda" xfId="2" builtinId="4"/>
    <cellStyle name="Normal" xfId="0" builtinId="0"/>
    <cellStyle name="Porcentagem" xfId="3" builtinId="5"/>
    <cellStyle name="Vírgula" xfId="1" builtinId="3"/>
    <cellStyle name="Vírgula 2" xfId="4" xr:uid="{7D5B3179-7A0F-4CB2-B28E-6A3A69EA1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723181</xdr:colOff>
      <xdr:row>11</xdr:row>
      <xdr:rowOff>268953</xdr:rowOff>
    </xdr:from>
    <xdr:to>
      <xdr:col>6</xdr:col>
      <xdr:colOff>359702</xdr:colOff>
      <xdr:row>12</xdr:row>
      <xdr:rowOff>311841</xdr:rowOff>
    </xdr:to>
    <xdr:sp macro="" textlink="">
      <xdr:nvSpPr>
        <xdr:cNvPr id="2" name="Seta: para a Esquerda 1">
          <a:extLst>
            <a:ext uri="{FF2B5EF4-FFF2-40B4-BE49-F238E27FC236}">
              <a16:creationId xmlns:a16="http://schemas.microsoft.com/office/drawing/2014/main" id="{4ADEA6D0-3586-4E7F-9258-5670196E240B}"/>
            </a:ext>
          </a:extLst>
        </xdr:cNvPr>
        <xdr:cNvSpPr/>
      </xdr:nvSpPr>
      <xdr:spPr>
        <a:xfrm rot="548563">
          <a:off x="5333281" y="4513293"/>
          <a:ext cx="3576061" cy="45436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Lucros</a:t>
          </a:r>
        </a:p>
      </xdr:txBody>
    </xdr:sp>
    <xdr:clientData/>
  </xdr:twoCellAnchor>
  <xdr:twoCellAnchor>
    <xdr:from>
      <xdr:col>2</xdr:col>
      <xdr:colOff>1923484</xdr:colOff>
      <xdr:row>10</xdr:row>
      <xdr:rowOff>188795</xdr:rowOff>
    </xdr:from>
    <xdr:to>
      <xdr:col>3</xdr:col>
      <xdr:colOff>444095</xdr:colOff>
      <xdr:row>13</xdr:row>
      <xdr:rowOff>62452</xdr:rowOff>
    </xdr:to>
    <xdr:sp macro="" textlink="">
      <xdr:nvSpPr>
        <xdr:cNvPr id="3" name="Seta: para a Esquerda 2">
          <a:extLst>
            <a:ext uri="{FF2B5EF4-FFF2-40B4-BE49-F238E27FC236}">
              <a16:creationId xmlns:a16="http://schemas.microsoft.com/office/drawing/2014/main" id="{AD072DC9-C674-4FAD-8C75-492D74650899}"/>
            </a:ext>
          </a:extLst>
        </xdr:cNvPr>
        <xdr:cNvSpPr/>
      </xdr:nvSpPr>
      <xdr:spPr>
        <a:xfrm rot="5400000">
          <a:off x="4321631" y="4328608"/>
          <a:ext cx="963317" cy="50181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Sócios</a:t>
          </a:r>
        </a:p>
      </xdr:txBody>
    </xdr:sp>
    <xdr:clientData/>
  </xdr:twoCellAnchor>
  <xdr:twoCellAnchor>
    <xdr:from>
      <xdr:col>3</xdr:col>
      <xdr:colOff>261727</xdr:colOff>
      <xdr:row>0</xdr:row>
      <xdr:rowOff>0</xdr:rowOff>
    </xdr:from>
    <xdr:to>
      <xdr:col>3</xdr:col>
      <xdr:colOff>763538</xdr:colOff>
      <xdr:row>3</xdr:row>
      <xdr:rowOff>190500</xdr:rowOff>
    </xdr:to>
    <xdr:sp macro="" textlink="">
      <xdr:nvSpPr>
        <xdr:cNvPr id="4" name="Seta: para a Esquerda 3">
          <a:extLst>
            <a:ext uri="{FF2B5EF4-FFF2-40B4-BE49-F238E27FC236}">
              <a16:creationId xmlns:a16="http://schemas.microsoft.com/office/drawing/2014/main" id="{D572BDDD-F3D5-401F-BC6C-D7FC212F524A}"/>
            </a:ext>
          </a:extLst>
        </xdr:cNvPr>
        <xdr:cNvSpPr/>
      </xdr:nvSpPr>
      <xdr:spPr>
        <a:xfrm rot="16200000">
          <a:off x="4558853" y="312974"/>
          <a:ext cx="1127760" cy="50181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Credores</a:t>
          </a:r>
        </a:p>
      </xdr:txBody>
    </xdr:sp>
    <xdr:clientData/>
  </xdr:twoCellAnchor>
  <xdr:twoCellAnchor>
    <xdr:from>
      <xdr:col>1</xdr:col>
      <xdr:colOff>266700</xdr:colOff>
      <xdr:row>5</xdr:row>
      <xdr:rowOff>137160</xdr:rowOff>
    </xdr:from>
    <xdr:to>
      <xdr:col>2</xdr:col>
      <xdr:colOff>568065</xdr:colOff>
      <xdr:row>6</xdr:row>
      <xdr:rowOff>166531</xdr:rowOff>
    </xdr:to>
    <xdr:sp macro="" textlink="">
      <xdr:nvSpPr>
        <xdr:cNvPr id="5" name="Seta: para a Esquerda 4">
          <a:extLst>
            <a:ext uri="{FF2B5EF4-FFF2-40B4-BE49-F238E27FC236}">
              <a16:creationId xmlns:a16="http://schemas.microsoft.com/office/drawing/2014/main" id="{17121126-C803-43FD-875A-7948C6CDBD5F}"/>
            </a:ext>
          </a:extLst>
        </xdr:cNvPr>
        <xdr:cNvSpPr/>
      </xdr:nvSpPr>
      <xdr:spPr>
        <a:xfrm>
          <a:off x="1866900" y="1821180"/>
          <a:ext cx="1330065" cy="50181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Destino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2</xdr:row>
      <xdr:rowOff>76200</xdr:rowOff>
    </xdr:from>
    <xdr:to>
      <xdr:col>8</xdr:col>
      <xdr:colOff>411480</xdr:colOff>
      <xdr:row>2</xdr:row>
      <xdr:rowOff>342900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EE3A6DF-8A70-4D59-88AB-191E134ED5D2}"/>
            </a:ext>
          </a:extLst>
        </xdr:cNvPr>
        <xdr:cNvSpPr/>
      </xdr:nvSpPr>
      <xdr:spPr>
        <a:xfrm>
          <a:off x="10005060" y="6324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8</xdr:col>
      <xdr:colOff>121920</xdr:colOff>
      <xdr:row>3</xdr:row>
      <xdr:rowOff>0</xdr:rowOff>
    </xdr:from>
    <xdr:to>
      <xdr:col>8</xdr:col>
      <xdr:colOff>411480</xdr:colOff>
      <xdr:row>3</xdr:row>
      <xdr:rowOff>266700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3F8799E-FCF2-467D-AF97-C999E25772E8}"/>
            </a:ext>
          </a:extLst>
        </xdr:cNvPr>
        <xdr:cNvSpPr/>
      </xdr:nvSpPr>
      <xdr:spPr>
        <a:xfrm>
          <a:off x="10005060" y="9372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8</xdr:col>
      <xdr:colOff>121920</xdr:colOff>
      <xdr:row>4</xdr:row>
      <xdr:rowOff>0</xdr:rowOff>
    </xdr:from>
    <xdr:to>
      <xdr:col>8</xdr:col>
      <xdr:colOff>411480</xdr:colOff>
      <xdr:row>4</xdr:row>
      <xdr:rowOff>266700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E233DCB1-006E-45D1-A059-2BBD970F03E3}"/>
            </a:ext>
          </a:extLst>
        </xdr:cNvPr>
        <xdr:cNvSpPr/>
      </xdr:nvSpPr>
      <xdr:spPr>
        <a:xfrm>
          <a:off x="10005060" y="13258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8</xdr:col>
      <xdr:colOff>121920</xdr:colOff>
      <xdr:row>5</xdr:row>
      <xdr:rowOff>0</xdr:rowOff>
    </xdr:from>
    <xdr:to>
      <xdr:col>8</xdr:col>
      <xdr:colOff>411480</xdr:colOff>
      <xdr:row>5</xdr:row>
      <xdr:rowOff>266700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6F885189-5532-4304-9029-D5E886A4BBE1}"/>
            </a:ext>
          </a:extLst>
        </xdr:cNvPr>
        <xdr:cNvSpPr/>
      </xdr:nvSpPr>
      <xdr:spPr>
        <a:xfrm>
          <a:off x="10005060" y="168402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121920</xdr:colOff>
      <xdr:row>6</xdr:row>
      <xdr:rowOff>0</xdr:rowOff>
    </xdr:from>
    <xdr:to>
      <xdr:col>8</xdr:col>
      <xdr:colOff>411480</xdr:colOff>
      <xdr:row>6</xdr:row>
      <xdr:rowOff>266700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EB15DE3-6B0E-4031-B4F8-39D4A3075ADA}"/>
            </a:ext>
          </a:extLst>
        </xdr:cNvPr>
        <xdr:cNvSpPr/>
      </xdr:nvSpPr>
      <xdr:spPr>
        <a:xfrm>
          <a:off x="10005060" y="21564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8</xdr:col>
      <xdr:colOff>121920</xdr:colOff>
      <xdr:row>8</xdr:row>
      <xdr:rowOff>0</xdr:rowOff>
    </xdr:from>
    <xdr:to>
      <xdr:col>8</xdr:col>
      <xdr:colOff>411480</xdr:colOff>
      <xdr:row>8</xdr:row>
      <xdr:rowOff>266700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1539524-8400-42CA-B1C3-CD428326CD79}"/>
            </a:ext>
          </a:extLst>
        </xdr:cNvPr>
        <xdr:cNvSpPr/>
      </xdr:nvSpPr>
      <xdr:spPr>
        <a:xfrm>
          <a:off x="10005060" y="308610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8</xdr:col>
      <xdr:colOff>121920</xdr:colOff>
      <xdr:row>9</xdr:row>
      <xdr:rowOff>0</xdr:rowOff>
    </xdr:from>
    <xdr:to>
      <xdr:col>8</xdr:col>
      <xdr:colOff>411480</xdr:colOff>
      <xdr:row>9</xdr:row>
      <xdr:rowOff>266700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71879AA4-159B-40B9-8625-D6BBD63ACAF0}"/>
            </a:ext>
          </a:extLst>
        </xdr:cNvPr>
        <xdr:cNvSpPr/>
      </xdr:nvSpPr>
      <xdr:spPr>
        <a:xfrm>
          <a:off x="10005060" y="350520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121920</xdr:colOff>
      <xdr:row>10</xdr:row>
      <xdr:rowOff>0</xdr:rowOff>
    </xdr:from>
    <xdr:to>
      <xdr:col>8</xdr:col>
      <xdr:colOff>411480</xdr:colOff>
      <xdr:row>10</xdr:row>
      <xdr:rowOff>266700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245E1903-0675-49C0-8C97-D9442BCEB293}"/>
            </a:ext>
          </a:extLst>
        </xdr:cNvPr>
        <xdr:cNvSpPr/>
      </xdr:nvSpPr>
      <xdr:spPr>
        <a:xfrm>
          <a:off x="10005060" y="39090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775855</xdr:colOff>
      <xdr:row>11</xdr:row>
      <xdr:rowOff>62345</xdr:rowOff>
    </xdr:from>
    <xdr:to>
      <xdr:col>4</xdr:col>
      <xdr:colOff>821574</xdr:colOff>
      <xdr:row>11</xdr:row>
      <xdr:rowOff>381000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1BC10DBC-B274-4BB9-A3A4-8DD6B8F5CE36}"/>
            </a:ext>
          </a:extLst>
        </xdr:cNvPr>
        <xdr:cNvSpPr/>
      </xdr:nvSpPr>
      <xdr:spPr>
        <a:xfrm>
          <a:off x="2909455" y="2615045"/>
          <a:ext cx="45719" cy="318655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720436</xdr:colOff>
      <xdr:row>11</xdr:row>
      <xdr:rowOff>62345</xdr:rowOff>
    </xdr:from>
    <xdr:to>
      <xdr:col>6</xdr:col>
      <xdr:colOff>766155</xdr:colOff>
      <xdr:row>11</xdr:row>
      <xdr:rowOff>381000</xdr:rowOff>
    </xdr:to>
    <xdr:sp macro="" textlink="">
      <xdr:nvSpPr>
        <xdr:cNvPr id="3" name="Seta: para Cima 2">
          <a:extLst>
            <a:ext uri="{FF2B5EF4-FFF2-40B4-BE49-F238E27FC236}">
              <a16:creationId xmlns:a16="http://schemas.microsoft.com/office/drawing/2014/main" id="{834F8554-B2D7-4015-B964-4718D50049AE}"/>
            </a:ext>
          </a:extLst>
        </xdr:cNvPr>
        <xdr:cNvSpPr/>
      </xdr:nvSpPr>
      <xdr:spPr>
        <a:xfrm>
          <a:off x="4903816" y="2615045"/>
          <a:ext cx="45719" cy="318655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14</xdr:row>
      <xdr:rowOff>91440</xdr:rowOff>
    </xdr:from>
    <xdr:to>
      <xdr:col>10</xdr:col>
      <xdr:colOff>762000</xdr:colOff>
      <xdr:row>15</xdr:row>
      <xdr:rowOff>38100</xdr:rowOff>
    </xdr:to>
    <xdr:sp macro="" textlink="">
      <xdr:nvSpPr>
        <xdr:cNvPr id="134" name="Text Box 140">
          <a:extLst>
            <a:ext uri="{FF2B5EF4-FFF2-40B4-BE49-F238E27FC236}">
              <a16:creationId xmlns:a16="http://schemas.microsoft.com/office/drawing/2014/main" id="{65F7214A-E167-40A5-8FD4-CECF2CDE617E}"/>
            </a:ext>
          </a:extLst>
        </xdr:cNvPr>
        <xdr:cNvSpPr txBox="1">
          <a:spLocks noChangeArrowheads="1"/>
        </xdr:cNvSpPr>
      </xdr:nvSpPr>
      <xdr:spPr bwMode="auto">
        <a:xfrm>
          <a:off x="13830300" y="4914900"/>
          <a:ext cx="144018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financeiras</a:t>
          </a:r>
        </a:p>
      </xdr:txBody>
    </xdr:sp>
    <xdr:clientData/>
  </xdr:twoCellAnchor>
  <xdr:twoCellAnchor>
    <xdr:from>
      <xdr:col>5</xdr:col>
      <xdr:colOff>525780</xdr:colOff>
      <xdr:row>10</xdr:row>
      <xdr:rowOff>68580</xdr:rowOff>
    </xdr:from>
    <xdr:to>
      <xdr:col>6</xdr:col>
      <xdr:colOff>800100</xdr:colOff>
      <xdr:row>11</xdr:row>
      <xdr:rowOff>11589</xdr:rowOff>
    </xdr:to>
    <xdr:sp macro="" textlink="">
      <xdr:nvSpPr>
        <xdr:cNvPr id="187" name="Text Box 99">
          <a:extLst>
            <a:ext uri="{FF2B5EF4-FFF2-40B4-BE49-F238E27FC236}">
              <a16:creationId xmlns:a16="http://schemas.microsoft.com/office/drawing/2014/main" id="{70C013EF-6FD2-45FF-8195-BC5DB4E1368A}"/>
            </a:ext>
          </a:extLst>
        </xdr:cNvPr>
        <xdr:cNvSpPr txBox="1">
          <a:spLocks noChangeArrowheads="1"/>
        </xdr:cNvSpPr>
      </xdr:nvSpPr>
      <xdr:spPr bwMode="auto">
        <a:xfrm>
          <a:off x="8450580" y="3528060"/>
          <a:ext cx="1562100" cy="2782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Depreciação Acumulada</a:t>
          </a:r>
        </a:p>
      </xdr:txBody>
    </xdr:sp>
    <xdr:clientData/>
  </xdr:twoCellAnchor>
  <xdr:twoCellAnchor>
    <xdr:from>
      <xdr:col>9</xdr:col>
      <xdr:colOff>342900</xdr:colOff>
      <xdr:row>10</xdr:row>
      <xdr:rowOff>76200</xdr:rowOff>
    </xdr:from>
    <xdr:to>
      <xdr:col>10</xdr:col>
      <xdr:colOff>1049656</xdr:colOff>
      <xdr:row>10</xdr:row>
      <xdr:rowOff>327660</xdr:rowOff>
    </xdr:to>
    <xdr:sp macro="" textlink="">
      <xdr:nvSpPr>
        <xdr:cNvPr id="177" name="Text Box 106">
          <a:extLst>
            <a:ext uri="{FF2B5EF4-FFF2-40B4-BE49-F238E27FC236}">
              <a16:creationId xmlns:a16="http://schemas.microsoft.com/office/drawing/2014/main" id="{98F7441A-8E5E-48CC-A415-36AFDF4FCC11}"/>
            </a:ext>
          </a:extLst>
        </xdr:cNvPr>
        <xdr:cNvSpPr txBox="1">
          <a:spLocks noChangeArrowheads="1"/>
        </xdr:cNvSpPr>
      </xdr:nvSpPr>
      <xdr:spPr bwMode="auto">
        <a:xfrm>
          <a:off x="13586460" y="3535680"/>
          <a:ext cx="1971676" cy="251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Administrativas</a:t>
          </a:r>
        </a:p>
      </xdr:txBody>
    </xdr:sp>
    <xdr:clientData/>
  </xdr:twoCellAnchor>
  <xdr:twoCellAnchor>
    <xdr:from>
      <xdr:col>9</xdr:col>
      <xdr:colOff>481965</xdr:colOff>
      <xdr:row>2</xdr:row>
      <xdr:rowOff>116205</xdr:rowOff>
    </xdr:from>
    <xdr:to>
      <xdr:col>10</xdr:col>
      <xdr:colOff>609600</xdr:colOff>
      <xdr:row>2</xdr:row>
      <xdr:rowOff>335280</xdr:rowOff>
    </xdr:to>
    <xdr:sp macro="" textlink="">
      <xdr:nvSpPr>
        <xdr:cNvPr id="111" name="Text Box 100">
          <a:extLst>
            <a:ext uri="{FF2B5EF4-FFF2-40B4-BE49-F238E27FC236}">
              <a16:creationId xmlns:a16="http://schemas.microsoft.com/office/drawing/2014/main" id="{97FF1CBA-05CF-4616-95ED-8AE72F196B1D}"/>
            </a:ext>
          </a:extLst>
        </xdr:cNvPr>
        <xdr:cNvSpPr txBox="1">
          <a:spLocks noChangeArrowheads="1"/>
        </xdr:cNvSpPr>
      </xdr:nvSpPr>
      <xdr:spPr bwMode="auto">
        <a:xfrm>
          <a:off x="13725525" y="672465"/>
          <a:ext cx="139255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Receita (Vendas)         </a:t>
          </a:r>
        </a:p>
      </xdr:txBody>
    </xdr:sp>
    <xdr:clientData/>
  </xdr:twoCellAnchor>
  <xdr:twoCellAnchor>
    <xdr:from>
      <xdr:col>9</xdr:col>
      <xdr:colOff>821055</xdr:colOff>
      <xdr:row>6</xdr:row>
      <xdr:rowOff>19051</xdr:rowOff>
    </xdr:from>
    <xdr:to>
      <xdr:col>10</xdr:col>
      <xdr:colOff>678180</xdr:colOff>
      <xdr:row>6</xdr:row>
      <xdr:rowOff>236221</xdr:rowOff>
    </xdr:to>
    <xdr:sp macro="" textlink="">
      <xdr:nvSpPr>
        <xdr:cNvPr id="96" name="Text Box 80">
          <a:extLst>
            <a:ext uri="{FF2B5EF4-FFF2-40B4-BE49-F238E27FC236}">
              <a16:creationId xmlns:a16="http://schemas.microsoft.com/office/drawing/2014/main" id="{62F0EF6A-CC5E-42FB-ADE4-8DDFE15A6FA0}"/>
            </a:ext>
          </a:extLst>
        </xdr:cNvPr>
        <xdr:cNvSpPr txBox="1">
          <a:spLocks noChangeArrowheads="1"/>
        </xdr:cNvSpPr>
      </xdr:nvSpPr>
      <xdr:spPr bwMode="auto">
        <a:xfrm>
          <a:off x="14064615" y="2061211"/>
          <a:ext cx="1411605" cy="2171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Custo do material</a:t>
          </a:r>
        </a:p>
      </xdr:txBody>
    </xdr:sp>
    <xdr:clientData/>
  </xdr:twoCellAnchor>
  <xdr:twoCellAnchor>
    <xdr:from>
      <xdr:col>9</xdr:col>
      <xdr:colOff>588644</xdr:colOff>
      <xdr:row>4</xdr:row>
      <xdr:rowOff>53341</xdr:rowOff>
    </xdr:from>
    <xdr:to>
      <xdr:col>10</xdr:col>
      <xdr:colOff>640079</xdr:colOff>
      <xdr:row>4</xdr:row>
      <xdr:rowOff>274321</xdr:rowOff>
    </xdr:to>
    <xdr:sp macro="" textlink="">
      <xdr:nvSpPr>
        <xdr:cNvPr id="107" name="Text Box 96">
          <a:extLst>
            <a:ext uri="{FF2B5EF4-FFF2-40B4-BE49-F238E27FC236}">
              <a16:creationId xmlns:a16="http://schemas.microsoft.com/office/drawing/2014/main" id="{4265E2CA-3533-483B-A92D-E80D6A15B1A0}"/>
            </a:ext>
          </a:extLst>
        </xdr:cNvPr>
        <xdr:cNvSpPr txBox="1">
          <a:spLocks noChangeArrowheads="1"/>
        </xdr:cNvSpPr>
      </xdr:nvSpPr>
      <xdr:spPr bwMode="auto">
        <a:xfrm>
          <a:off x="13832204" y="1379221"/>
          <a:ext cx="1316355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sobre vendas</a:t>
          </a:r>
        </a:p>
      </xdr:txBody>
    </xdr:sp>
    <xdr:clientData/>
  </xdr:twoCellAnchor>
  <xdr:twoCellAnchor>
    <xdr:from>
      <xdr:col>7</xdr:col>
      <xdr:colOff>382905</xdr:colOff>
      <xdr:row>2</xdr:row>
      <xdr:rowOff>108585</xdr:rowOff>
    </xdr:from>
    <xdr:to>
      <xdr:col>8</xdr:col>
      <xdr:colOff>876300</xdr:colOff>
      <xdr:row>2</xdr:row>
      <xdr:rowOff>365760</xdr:rowOff>
    </xdr:to>
    <xdr:sp macro="" textlink="">
      <xdr:nvSpPr>
        <xdr:cNvPr id="93" name="Text Box 74">
          <a:extLst>
            <a:ext uri="{FF2B5EF4-FFF2-40B4-BE49-F238E27FC236}">
              <a16:creationId xmlns:a16="http://schemas.microsoft.com/office/drawing/2014/main" id="{43B4BCC7-69AA-4694-BA76-995798B58245}"/>
            </a:ext>
          </a:extLst>
        </xdr:cNvPr>
        <xdr:cNvSpPr txBox="1">
          <a:spLocks noChangeArrowheads="1"/>
        </xdr:cNvSpPr>
      </xdr:nvSpPr>
      <xdr:spPr bwMode="auto">
        <a:xfrm>
          <a:off x="10106025" y="664845"/>
          <a:ext cx="15525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Fornecedores a pagar        </a:t>
          </a:r>
        </a:p>
      </xdr:txBody>
    </xdr:sp>
    <xdr:clientData/>
  </xdr:twoCellAnchor>
  <xdr:twoCellAnchor>
    <xdr:from>
      <xdr:col>0</xdr:col>
      <xdr:colOff>121920</xdr:colOff>
      <xdr:row>2</xdr:row>
      <xdr:rowOff>76200</xdr:rowOff>
    </xdr:from>
    <xdr:to>
      <xdr:col>0</xdr:col>
      <xdr:colOff>411480</xdr:colOff>
      <xdr:row>2</xdr:row>
      <xdr:rowOff>342900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5BF7F9A6-7AD0-4EBB-AB5B-9D118952BAC5}"/>
            </a:ext>
          </a:extLst>
        </xdr:cNvPr>
        <xdr:cNvSpPr/>
      </xdr:nvSpPr>
      <xdr:spPr>
        <a:xfrm>
          <a:off x="10005060" y="6324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0</xdr:col>
      <xdr:colOff>121920</xdr:colOff>
      <xdr:row>3</xdr:row>
      <xdr:rowOff>0</xdr:rowOff>
    </xdr:from>
    <xdr:to>
      <xdr:col>0</xdr:col>
      <xdr:colOff>411480</xdr:colOff>
      <xdr:row>3</xdr:row>
      <xdr:rowOff>266700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E83442A-863A-4631-AAD8-643E77504B4E}"/>
            </a:ext>
          </a:extLst>
        </xdr:cNvPr>
        <xdr:cNvSpPr/>
      </xdr:nvSpPr>
      <xdr:spPr>
        <a:xfrm>
          <a:off x="10005060" y="9372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0</xdr:col>
      <xdr:colOff>121920</xdr:colOff>
      <xdr:row>4</xdr:row>
      <xdr:rowOff>0</xdr:rowOff>
    </xdr:from>
    <xdr:to>
      <xdr:col>0</xdr:col>
      <xdr:colOff>411480</xdr:colOff>
      <xdr:row>4</xdr:row>
      <xdr:rowOff>266700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17A64C9-8CA6-4E45-BF6B-FEA688B821D0}"/>
            </a:ext>
          </a:extLst>
        </xdr:cNvPr>
        <xdr:cNvSpPr/>
      </xdr:nvSpPr>
      <xdr:spPr>
        <a:xfrm>
          <a:off x="10005060" y="13258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0</xdr:col>
      <xdr:colOff>121920</xdr:colOff>
      <xdr:row>5</xdr:row>
      <xdr:rowOff>0</xdr:rowOff>
    </xdr:from>
    <xdr:to>
      <xdr:col>0</xdr:col>
      <xdr:colOff>411480</xdr:colOff>
      <xdr:row>5</xdr:row>
      <xdr:rowOff>266700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29C253D7-0EBD-4E2E-9876-59EBA1727FD7}"/>
            </a:ext>
          </a:extLst>
        </xdr:cNvPr>
        <xdr:cNvSpPr/>
      </xdr:nvSpPr>
      <xdr:spPr>
        <a:xfrm>
          <a:off x="10005060" y="168402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0</xdr:col>
      <xdr:colOff>121920</xdr:colOff>
      <xdr:row>6</xdr:row>
      <xdr:rowOff>0</xdr:rowOff>
    </xdr:from>
    <xdr:to>
      <xdr:col>0</xdr:col>
      <xdr:colOff>411480</xdr:colOff>
      <xdr:row>6</xdr:row>
      <xdr:rowOff>266700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60950B5-FAF6-404B-81DC-D5FA113D59E2}"/>
            </a:ext>
          </a:extLst>
        </xdr:cNvPr>
        <xdr:cNvSpPr/>
      </xdr:nvSpPr>
      <xdr:spPr>
        <a:xfrm>
          <a:off x="10005060" y="21564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0</xdr:col>
      <xdr:colOff>121920</xdr:colOff>
      <xdr:row>9</xdr:row>
      <xdr:rowOff>0</xdr:rowOff>
    </xdr:from>
    <xdr:to>
      <xdr:col>0</xdr:col>
      <xdr:colOff>411480</xdr:colOff>
      <xdr:row>9</xdr:row>
      <xdr:rowOff>266700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ED548383-96BC-458E-8019-52F13DD7CBE6}"/>
            </a:ext>
          </a:extLst>
        </xdr:cNvPr>
        <xdr:cNvSpPr/>
      </xdr:nvSpPr>
      <xdr:spPr>
        <a:xfrm>
          <a:off x="10005060" y="308610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0</xdr:col>
      <xdr:colOff>121920</xdr:colOff>
      <xdr:row>10</xdr:row>
      <xdr:rowOff>0</xdr:rowOff>
    </xdr:from>
    <xdr:to>
      <xdr:col>0</xdr:col>
      <xdr:colOff>411480</xdr:colOff>
      <xdr:row>10</xdr:row>
      <xdr:rowOff>266700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40DA229F-F3DD-4076-BD36-331568789998}"/>
            </a:ext>
          </a:extLst>
        </xdr:cNvPr>
        <xdr:cNvSpPr/>
      </xdr:nvSpPr>
      <xdr:spPr>
        <a:xfrm>
          <a:off x="10005060" y="350520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929640</xdr:colOff>
      <xdr:row>13</xdr:row>
      <xdr:rowOff>30480</xdr:rowOff>
    </xdr:from>
    <xdr:to>
      <xdr:col>8</xdr:col>
      <xdr:colOff>1219200</xdr:colOff>
      <xdr:row>13</xdr:row>
      <xdr:rowOff>297180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2B58F8F7-91FE-48F1-AB62-563FA7607957}"/>
            </a:ext>
          </a:extLst>
        </xdr:cNvPr>
        <xdr:cNvSpPr/>
      </xdr:nvSpPr>
      <xdr:spPr>
        <a:xfrm>
          <a:off x="12786360" y="739140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3</xdr:col>
      <xdr:colOff>144780</xdr:colOff>
      <xdr:row>3</xdr:row>
      <xdr:rowOff>22860</xdr:rowOff>
    </xdr:from>
    <xdr:to>
      <xdr:col>3</xdr:col>
      <xdr:colOff>434340</xdr:colOff>
      <xdr:row>3</xdr:row>
      <xdr:rowOff>289560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E0AEF44-7D31-449C-81F3-79AD8D8C7D5E}"/>
            </a:ext>
          </a:extLst>
        </xdr:cNvPr>
        <xdr:cNvSpPr/>
      </xdr:nvSpPr>
      <xdr:spPr>
        <a:xfrm>
          <a:off x="5158740" y="96012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4</xdr:col>
      <xdr:colOff>800100</xdr:colOff>
      <xdr:row>3</xdr:row>
      <xdr:rowOff>7620</xdr:rowOff>
    </xdr:from>
    <xdr:to>
      <xdr:col>4</xdr:col>
      <xdr:colOff>1127760</xdr:colOff>
      <xdr:row>3</xdr:row>
      <xdr:rowOff>297180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D58D8ED9-511A-48FF-9470-6761BEDBCA6B}"/>
            </a:ext>
          </a:extLst>
        </xdr:cNvPr>
        <xdr:cNvSpPr/>
      </xdr:nvSpPr>
      <xdr:spPr>
        <a:xfrm>
          <a:off x="7322820" y="944880"/>
          <a:ext cx="3276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114300</xdr:colOff>
      <xdr:row>5</xdr:row>
      <xdr:rowOff>15240</xdr:rowOff>
    </xdr:from>
    <xdr:to>
      <xdr:col>5</xdr:col>
      <xdr:colOff>403860</xdr:colOff>
      <xdr:row>5</xdr:row>
      <xdr:rowOff>297180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1B8EDBF7-E148-4DBB-AB3C-128CE92CDF54}"/>
            </a:ext>
          </a:extLst>
        </xdr:cNvPr>
        <xdr:cNvSpPr/>
      </xdr:nvSpPr>
      <xdr:spPr>
        <a:xfrm>
          <a:off x="7459980" y="16459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8</xdr:col>
      <xdr:colOff>800100</xdr:colOff>
      <xdr:row>3</xdr:row>
      <xdr:rowOff>7620</xdr:rowOff>
    </xdr:from>
    <xdr:to>
      <xdr:col>8</xdr:col>
      <xdr:colOff>1089660</xdr:colOff>
      <xdr:row>3</xdr:row>
      <xdr:rowOff>289560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984C1D04-7A8E-4EF0-B5C2-B0C431DB6AF6}"/>
            </a:ext>
          </a:extLst>
        </xdr:cNvPr>
        <xdr:cNvSpPr/>
      </xdr:nvSpPr>
      <xdr:spPr>
        <a:xfrm>
          <a:off x="11856720" y="9448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6</xdr:col>
      <xdr:colOff>769620</xdr:colOff>
      <xdr:row>5</xdr:row>
      <xdr:rowOff>30480</xdr:rowOff>
    </xdr:from>
    <xdr:to>
      <xdr:col>6</xdr:col>
      <xdr:colOff>1059180</xdr:colOff>
      <xdr:row>5</xdr:row>
      <xdr:rowOff>320040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1DDF6F2B-E8BD-4C3A-B1D2-22A0CF236180}"/>
            </a:ext>
          </a:extLst>
        </xdr:cNvPr>
        <xdr:cNvSpPr/>
      </xdr:nvSpPr>
      <xdr:spPr>
        <a:xfrm>
          <a:off x="9403080" y="166116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5</xdr:col>
      <xdr:colOff>121920</xdr:colOff>
      <xdr:row>3</xdr:row>
      <xdr:rowOff>15240</xdr:rowOff>
    </xdr:from>
    <xdr:to>
      <xdr:col>5</xdr:col>
      <xdr:colOff>411480</xdr:colOff>
      <xdr:row>3</xdr:row>
      <xdr:rowOff>304800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5B38AE1A-010F-4846-B032-B1D7BDFAEAD4}"/>
            </a:ext>
          </a:extLst>
        </xdr:cNvPr>
        <xdr:cNvSpPr/>
      </xdr:nvSpPr>
      <xdr:spPr>
        <a:xfrm>
          <a:off x="8046720" y="95250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7620</xdr:colOff>
      <xdr:row>9</xdr:row>
      <xdr:rowOff>15240</xdr:rowOff>
    </xdr:to>
    <xdr:sp macro="" textlink="">
      <xdr:nvSpPr>
        <xdr:cNvPr id="88" name="Line 69">
          <a:extLst>
            <a:ext uri="{FF2B5EF4-FFF2-40B4-BE49-F238E27FC236}">
              <a16:creationId xmlns:a16="http://schemas.microsoft.com/office/drawing/2014/main" id="{C7D23C08-9A3B-4B00-A9A4-34E00A91B843}"/>
            </a:ext>
          </a:extLst>
        </xdr:cNvPr>
        <xdr:cNvSpPr>
          <a:spLocks noChangeShapeType="1"/>
        </xdr:cNvSpPr>
      </xdr:nvSpPr>
      <xdr:spPr bwMode="auto">
        <a:xfrm>
          <a:off x="6522720" y="937260"/>
          <a:ext cx="7620" cy="2133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3</xdr:row>
      <xdr:rowOff>22860</xdr:rowOff>
    </xdr:from>
    <xdr:to>
      <xdr:col>8</xdr:col>
      <xdr:colOff>7620</xdr:colOff>
      <xdr:row>3</xdr:row>
      <xdr:rowOff>373380</xdr:rowOff>
    </xdr:to>
    <xdr:sp macro="" textlink="">
      <xdr:nvSpPr>
        <xdr:cNvPr id="89" name="Line 70">
          <a:extLst>
            <a:ext uri="{FF2B5EF4-FFF2-40B4-BE49-F238E27FC236}">
              <a16:creationId xmlns:a16="http://schemas.microsoft.com/office/drawing/2014/main" id="{13BB79DF-9678-4AF4-B201-3EA70EE2B55F}"/>
            </a:ext>
          </a:extLst>
        </xdr:cNvPr>
        <xdr:cNvSpPr>
          <a:spLocks noChangeShapeType="1"/>
        </xdr:cNvSpPr>
      </xdr:nvSpPr>
      <xdr:spPr bwMode="auto">
        <a:xfrm flipH="1">
          <a:off x="11788140" y="96012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464821</xdr:colOff>
      <xdr:row>2</xdr:row>
      <xdr:rowOff>110490</xdr:rowOff>
    </xdr:from>
    <xdr:to>
      <xdr:col>4</xdr:col>
      <xdr:colOff>982981</xdr:colOff>
      <xdr:row>2</xdr:row>
      <xdr:rowOff>350520</xdr:rowOff>
    </xdr:to>
    <xdr:sp macro="" textlink="">
      <xdr:nvSpPr>
        <xdr:cNvPr id="90" name="Text Box 71">
          <a:extLst>
            <a:ext uri="{FF2B5EF4-FFF2-40B4-BE49-F238E27FC236}">
              <a16:creationId xmlns:a16="http://schemas.microsoft.com/office/drawing/2014/main" id="{AB8FD720-6722-45E3-A8A6-AF76C0DFE881}"/>
            </a:ext>
          </a:extLst>
        </xdr:cNvPr>
        <xdr:cNvSpPr txBox="1">
          <a:spLocks noChangeArrowheads="1"/>
        </xdr:cNvSpPr>
      </xdr:nvSpPr>
      <xdr:spPr bwMode="auto">
        <a:xfrm>
          <a:off x="5684521" y="666750"/>
          <a:ext cx="1821180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Caixa e Bancos     </a:t>
          </a:r>
        </a:p>
      </xdr:txBody>
    </xdr:sp>
    <xdr:clientData/>
  </xdr:twoCellAnchor>
  <xdr:twoCellAnchor>
    <xdr:from>
      <xdr:col>9</xdr:col>
      <xdr:colOff>205740</xdr:colOff>
      <xdr:row>2</xdr:row>
      <xdr:rowOff>373380</xdr:rowOff>
    </xdr:from>
    <xdr:to>
      <xdr:col>10</xdr:col>
      <xdr:colOff>1135380</xdr:colOff>
      <xdr:row>3</xdr:row>
      <xdr:rowOff>0</xdr:rowOff>
    </xdr:to>
    <xdr:sp macro="" textlink="">
      <xdr:nvSpPr>
        <xdr:cNvPr id="91" name="Line 72">
          <a:extLst>
            <a:ext uri="{FF2B5EF4-FFF2-40B4-BE49-F238E27FC236}">
              <a16:creationId xmlns:a16="http://schemas.microsoft.com/office/drawing/2014/main" id="{0D9A91B7-3041-45FF-9BEA-661AF635E608}"/>
            </a:ext>
          </a:extLst>
        </xdr:cNvPr>
        <xdr:cNvSpPr>
          <a:spLocks noChangeShapeType="1"/>
        </xdr:cNvSpPr>
      </xdr:nvSpPr>
      <xdr:spPr bwMode="auto">
        <a:xfrm>
          <a:off x="13449300" y="929640"/>
          <a:ext cx="21945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7620</xdr:colOff>
      <xdr:row>4</xdr:row>
      <xdr:rowOff>15240</xdr:rowOff>
    </xdr:to>
    <xdr:sp macro="" textlink="">
      <xdr:nvSpPr>
        <xdr:cNvPr id="92" name="Line 73">
          <a:extLst>
            <a:ext uri="{FF2B5EF4-FFF2-40B4-BE49-F238E27FC236}">
              <a16:creationId xmlns:a16="http://schemas.microsoft.com/office/drawing/2014/main" id="{096717AE-BF44-4E91-8ABF-0712BE85A80A}"/>
            </a:ext>
          </a:extLst>
        </xdr:cNvPr>
        <xdr:cNvSpPr>
          <a:spLocks noChangeShapeType="1"/>
        </xdr:cNvSpPr>
      </xdr:nvSpPr>
      <xdr:spPr bwMode="auto">
        <a:xfrm>
          <a:off x="14996160" y="937260"/>
          <a:ext cx="762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864870</xdr:colOff>
      <xdr:row>12</xdr:row>
      <xdr:rowOff>87630</xdr:rowOff>
    </xdr:from>
    <xdr:to>
      <xdr:col>8</xdr:col>
      <xdr:colOff>453390</xdr:colOff>
      <xdr:row>12</xdr:row>
      <xdr:rowOff>308610</xdr:rowOff>
    </xdr:to>
    <xdr:sp macro="" textlink="">
      <xdr:nvSpPr>
        <xdr:cNvPr id="94" name="Text Box 76">
          <a:extLst>
            <a:ext uri="{FF2B5EF4-FFF2-40B4-BE49-F238E27FC236}">
              <a16:creationId xmlns:a16="http://schemas.microsoft.com/office/drawing/2014/main" id="{196E542C-3409-49C9-97D0-3AF1DF648094}"/>
            </a:ext>
          </a:extLst>
        </xdr:cNvPr>
        <xdr:cNvSpPr txBox="1">
          <a:spLocks noChangeArrowheads="1"/>
        </xdr:cNvSpPr>
      </xdr:nvSpPr>
      <xdr:spPr bwMode="auto">
        <a:xfrm>
          <a:off x="11327130" y="4240530"/>
          <a:ext cx="906780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Capital</a:t>
          </a:r>
        </a:p>
      </xdr:txBody>
    </xdr:sp>
    <xdr:clientData/>
  </xdr:twoCellAnchor>
  <xdr:twoCellAnchor>
    <xdr:from>
      <xdr:col>5</xdr:col>
      <xdr:colOff>647700</xdr:colOff>
      <xdr:row>2</xdr:row>
      <xdr:rowOff>121920</xdr:rowOff>
    </xdr:from>
    <xdr:to>
      <xdr:col>6</xdr:col>
      <xdr:colOff>594360</xdr:colOff>
      <xdr:row>3</xdr:row>
      <xdr:rowOff>0</xdr:rowOff>
    </xdr:to>
    <xdr:sp macro="" textlink="">
      <xdr:nvSpPr>
        <xdr:cNvPr id="95" name="Text Box 78">
          <a:extLst>
            <a:ext uri="{FF2B5EF4-FFF2-40B4-BE49-F238E27FC236}">
              <a16:creationId xmlns:a16="http://schemas.microsoft.com/office/drawing/2014/main" id="{89F47C58-48FD-4C40-9049-BAADB8087833}"/>
            </a:ext>
          </a:extLst>
        </xdr:cNvPr>
        <xdr:cNvSpPr txBox="1">
          <a:spLocks noChangeArrowheads="1"/>
        </xdr:cNvSpPr>
      </xdr:nvSpPr>
      <xdr:spPr bwMode="auto">
        <a:xfrm>
          <a:off x="8572500" y="678180"/>
          <a:ext cx="1234440" cy="2590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Contas a receber</a:t>
          </a:r>
        </a:p>
      </xdr:txBody>
    </xdr:sp>
    <xdr:clientData/>
  </xdr:twoCellAnchor>
  <xdr:twoCellAnchor>
    <xdr:from>
      <xdr:col>5</xdr:col>
      <xdr:colOff>106680</xdr:colOff>
      <xdr:row>2</xdr:row>
      <xdr:rowOff>365760</xdr:rowOff>
    </xdr:from>
    <xdr:to>
      <xdr:col>6</xdr:col>
      <xdr:colOff>1021080</xdr:colOff>
      <xdr:row>2</xdr:row>
      <xdr:rowOff>365760</xdr:rowOff>
    </xdr:to>
    <xdr:sp macro="" textlink="">
      <xdr:nvSpPr>
        <xdr:cNvPr id="101" name="Line 90">
          <a:extLst>
            <a:ext uri="{FF2B5EF4-FFF2-40B4-BE49-F238E27FC236}">
              <a16:creationId xmlns:a16="http://schemas.microsoft.com/office/drawing/2014/main" id="{B3AD4E5C-AB89-43EF-9DAE-B1554B78A0E3}"/>
            </a:ext>
          </a:extLst>
        </xdr:cNvPr>
        <xdr:cNvSpPr>
          <a:spLocks noChangeShapeType="1"/>
        </xdr:cNvSpPr>
      </xdr:nvSpPr>
      <xdr:spPr bwMode="auto">
        <a:xfrm>
          <a:off x="8031480" y="922020"/>
          <a:ext cx="2202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7620</xdr:colOff>
      <xdr:row>4</xdr:row>
      <xdr:rowOff>0</xdr:rowOff>
    </xdr:to>
    <xdr:sp macro="" textlink="">
      <xdr:nvSpPr>
        <xdr:cNvPr id="102" name="Line 91">
          <a:extLst>
            <a:ext uri="{FF2B5EF4-FFF2-40B4-BE49-F238E27FC236}">
              <a16:creationId xmlns:a16="http://schemas.microsoft.com/office/drawing/2014/main" id="{270934D5-E3EA-4640-830B-7DD9D8E94F21}"/>
            </a:ext>
          </a:extLst>
        </xdr:cNvPr>
        <xdr:cNvSpPr>
          <a:spLocks noChangeShapeType="1"/>
        </xdr:cNvSpPr>
      </xdr:nvSpPr>
      <xdr:spPr bwMode="auto">
        <a:xfrm>
          <a:off x="9212580" y="93726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670560</xdr:colOff>
      <xdr:row>4</xdr:row>
      <xdr:rowOff>93345</xdr:rowOff>
    </xdr:from>
    <xdr:to>
      <xdr:col>6</xdr:col>
      <xdr:colOff>615267</xdr:colOff>
      <xdr:row>4</xdr:row>
      <xdr:rowOff>289560</xdr:rowOff>
    </xdr:to>
    <xdr:sp macro="" textlink="">
      <xdr:nvSpPr>
        <xdr:cNvPr id="103" name="Text Box 92">
          <a:extLst>
            <a:ext uri="{FF2B5EF4-FFF2-40B4-BE49-F238E27FC236}">
              <a16:creationId xmlns:a16="http://schemas.microsoft.com/office/drawing/2014/main" id="{3B4FABE3-5206-422F-A9FC-24EEA6BF0643}"/>
            </a:ext>
          </a:extLst>
        </xdr:cNvPr>
        <xdr:cNvSpPr txBox="1">
          <a:spLocks noChangeArrowheads="1"/>
        </xdr:cNvSpPr>
      </xdr:nvSpPr>
      <xdr:spPr bwMode="auto">
        <a:xfrm>
          <a:off x="8595360" y="1419225"/>
          <a:ext cx="1232487" cy="196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Estoques</a:t>
          </a:r>
        </a:p>
      </xdr:txBody>
    </xdr:sp>
    <xdr:clientData/>
  </xdr:twoCellAnchor>
  <xdr:twoCellAnchor>
    <xdr:from>
      <xdr:col>5</xdr:col>
      <xdr:colOff>655320</xdr:colOff>
      <xdr:row>6</xdr:row>
      <xdr:rowOff>118110</xdr:rowOff>
    </xdr:from>
    <xdr:to>
      <xdr:col>6</xdr:col>
      <xdr:colOff>600026</xdr:colOff>
      <xdr:row>6</xdr:row>
      <xdr:rowOff>329565</xdr:rowOff>
    </xdr:to>
    <xdr:sp macro="" textlink="">
      <xdr:nvSpPr>
        <xdr:cNvPr id="104" name="Text Box 93">
          <a:extLst>
            <a:ext uri="{FF2B5EF4-FFF2-40B4-BE49-F238E27FC236}">
              <a16:creationId xmlns:a16="http://schemas.microsoft.com/office/drawing/2014/main" id="{E58BE5C6-A719-4CA7-9558-7C82703B4EE5}"/>
            </a:ext>
          </a:extLst>
        </xdr:cNvPr>
        <xdr:cNvSpPr txBox="1">
          <a:spLocks noChangeArrowheads="1"/>
        </xdr:cNvSpPr>
      </xdr:nvSpPr>
      <xdr:spPr bwMode="auto">
        <a:xfrm>
          <a:off x="8001000" y="2160270"/>
          <a:ext cx="1232486" cy="2114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retido</a:t>
          </a:r>
        </a:p>
      </xdr:txBody>
    </xdr:sp>
    <xdr:clientData/>
  </xdr:twoCellAnchor>
  <xdr:twoCellAnchor>
    <xdr:from>
      <xdr:col>7</xdr:col>
      <xdr:colOff>874395</xdr:colOff>
      <xdr:row>8</xdr:row>
      <xdr:rowOff>55245</xdr:rowOff>
    </xdr:from>
    <xdr:to>
      <xdr:col>8</xdr:col>
      <xdr:colOff>493395</xdr:colOff>
      <xdr:row>8</xdr:row>
      <xdr:rowOff>274320</xdr:rowOff>
    </xdr:to>
    <xdr:sp macro="" textlink="">
      <xdr:nvSpPr>
        <xdr:cNvPr id="106" name="Text Box 95">
          <a:extLst>
            <a:ext uri="{FF2B5EF4-FFF2-40B4-BE49-F238E27FC236}">
              <a16:creationId xmlns:a16="http://schemas.microsoft.com/office/drawing/2014/main" id="{7EB99A4E-A217-40DC-880C-C9C56CED4AE5}"/>
            </a:ext>
          </a:extLst>
        </xdr:cNvPr>
        <xdr:cNvSpPr txBox="1">
          <a:spLocks noChangeArrowheads="1"/>
        </xdr:cNvSpPr>
      </xdr:nvSpPr>
      <xdr:spPr bwMode="auto">
        <a:xfrm>
          <a:off x="11336655" y="2851785"/>
          <a:ext cx="93726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a pagar</a:t>
          </a:r>
        </a:p>
      </xdr:txBody>
    </xdr:sp>
    <xdr:clientData/>
  </xdr:twoCellAnchor>
  <xdr:twoCellAnchor>
    <xdr:from>
      <xdr:col>5</xdr:col>
      <xdr:colOff>137160</xdr:colOff>
      <xdr:row>6</xdr:row>
      <xdr:rowOff>350520</xdr:rowOff>
    </xdr:from>
    <xdr:to>
      <xdr:col>6</xdr:col>
      <xdr:colOff>1097280</xdr:colOff>
      <xdr:row>6</xdr:row>
      <xdr:rowOff>350520</xdr:rowOff>
    </xdr:to>
    <xdr:sp macro="" textlink="">
      <xdr:nvSpPr>
        <xdr:cNvPr id="108" name="Line 97">
          <a:extLst>
            <a:ext uri="{FF2B5EF4-FFF2-40B4-BE49-F238E27FC236}">
              <a16:creationId xmlns:a16="http://schemas.microsoft.com/office/drawing/2014/main" id="{F27644DB-5372-48AB-BD4F-29B9F5FD23F2}"/>
            </a:ext>
          </a:extLst>
        </xdr:cNvPr>
        <xdr:cNvSpPr>
          <a:spLocks noChangeShapeType="1"/>
        </xdr:cNvSpPr>
      </xdr:nvSpPr>
      <xdr:spPr bwMode="auto">
        <a:xfrm flipV="1">
          <a:off x="7482840" y="2392680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</xdr:row>
      <xdr:rowOff>358140</xdr:rowOff>
    </xdr:from>
    <xdr:to>
      <xdr:col>6</xdr:col>
      <xdr:colOff>7620</xdr:colOff>
      <xdr:row>8</xdr:row>
      <xdr:rowOff>38100</xdr:rowOff>
    </xdr:to>
    <xdr:sp macro="" textlink="">
      <xdr:nvSpPr>
        <xdr:cNvPr id="109" name="Line 98">
          <a:extLst>
            <a:ext uri="{FF2B5EF4-FFF2-40B4-BE49-F238E27FC236}">
              <a16:creationId xmlns:a16="http://schemas.microsoft.com/office/drawing/2014/main" id="{280BE476-7D69-4730-AE61-5329F7ADDF24}"/>
            </a:ext>
          </a:extLst>
        </xdr:cNvPr>
        <xdr:cNvSpPr>
          <a:spLocks noChangeShapeType="1"/>
        </xdr:cNvSpPr>
      </xdr:nvSpPr>
      <xdr:spPr bwMode="auto">
        <a:xfrm flipH="1">
          <a:off x="8633460" y="2514600"/>
          <a:ext cx="7620" cy="3581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649605</xdr:colOff>
      <xdr:row>8</xdr:row>
      <xdr:rowOff>95250</xdr:rowOff>
    </xdr:from>
    <xdr:to>
      <xdr:col>6</xdr:col>
      <xdr:colOff>649605</xdr:colOff>
      <xdr:row>8</xdr:row>
      <xdr:rowOff>304959</xdr:rowOff>
    </xdr:to>
    <xdr:sp macro="" textlink="">
      <xdr:nvSpPr>
        <xdr:cNvPr id="110" name="Text Box 99">
          <a:extLst>
            <a:ext uri="{FF2B5EF4-FFF2-40B4-BE49-F238E27FC236}">
              <a16:creationId xmlns:a16="http://schemas.microsoft.com/office/drawing/2014/main" id="{0EB97C4F-D10D-4F69-985E-9E7C74486072}"/>
            </a:ext>
          </a:extLst>
        </xdr:cNvPr>
        <xdr:cNvSpPr txBox="1">
          <a:spLocks noChangeArrowheads="1"/>
        </xdr:cNvSpPr>
      </xdr:nvSpPr>
      <xdr:spPr bwMode="auto">
        <a:xfrm>
          <a:off x="8574405" y="2891790"/>
          <a:ext cx="1287780" cy="2097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Equipamento</a:t>
          </a:r>
        </a:p>
      </xdr:txBody>
    </xdr:sp>
    <xdr:clientData/>
  </xdr:twoCellAnchor>
  <xdr:twoCellAnchor>
    <xdr:from>
      <xdr:col>5</xdr:col>
      <xdr:colOff>121920</xdr:colOff>
      <xdr:row>5</xdr:row>
      <xdr:rowOff>0</xdr:rowOff>
    </xdr:from>
    <xdr:to>
      <xdr:col>6</xdr:col>
      <xdr:colOff>1089660</xdr:colOff>
      <xdr:row>5</xdr:row>
      <xdr:rowOff>7620</xdr:rowOff>
    </xdr:to>
    <xdr:sp macro="" textlink="">
      <xdr:nvSpPr>
        <xdr:cNvPr id="112" name="Line 101">
          <a:extLst>
            <a:ext uri="{FF2B5EF4-FFF2-40B4-BE49-F238E27FC236}">
              <a16:creationId xmlns:a16="http://schemas.microsoft.com/office/drawing/2014/main" id="{D5B4C8F5-C615-4039-B197-5F74B0E06443}"/>
            </a:ext>
          </a:extLst>
        </xdr:cNvPr>
        <xdr:cNvSpPr>
          <a:spLocks noChangeShapeType="1"/>
        </xdr:cNvSpPr>
      </xdr:nvSpPr>
      <xdr:spPr bwMode="auto">
        <a:xfrm>
          <a:off x="7467600" y="1630680"/>
          <a:ext cx="22555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</xdr:row>
      <xdr:rowOff>22860</xdr:rowOff>
    </xdr:from>
    <xdr:to>
      <xdr:col>6</xdr:col>
      <xdr:colOff>0</xdr:colOff>
      <xdr:row>6</xdr:row>
      <xdr:rowOff>0</xdr:rowOff>
    </xdr:to>
    <xdr:sp macro="" textlink="">
      <xdr:nvSpPr>
        <xdr:cNvPr id="113" name="Line 102">
          <a:extLst>
            <a:ext uri="{FF2B5EF4-FFF2-40B4-BE49-F238E27FC236}">
              <a16:creationId xmlns:a16="http://schemas.microsoft.com/office/drawing/2014/main" id="{0F26075C-0EEC-4D4F-AAD4-691ACFCF9C41}"/>
            </a:ext>
          </a:extLst>
        </xdr:cNvPr>
        <xdr:cNvSpPr>
          <a:spLocks noChangeShapeType="1"/>
        </xdr:cNvSpPr>
      </xdr:nvSpPr>
      <xdr:spPr bwMode="auto">
        <a:xfrm>
          <a:off x="8633460" y="1706880"/>
          <a:ext cx="0" cy="449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321944</xdr:colOff>
      <xdr:row>12</xdr:row>
      <xdr:rowOff>83821</xdr:rowOff>
    </xdr:from>
    <xdr:to>
      <xdr:col>10</xdr:col>
      <xdr:colOff>1028700</xdr:colOff>
      <xdr:row>12</xdr:row>
      <xdr:rowOff>335280</xdr:rowOff>
    </xdr:to>
    <xdr:sp macro="" textlink="">
      <xdr:nvSpPr>
        <xdr:cNvPr id="116" name="Text Box 106">
          <a:extLst>
            <a:ext uri="{FF2B5EF4-FFF2-40B4-BE49-F238E27FC236}">
              <a16:creationId xmlns:a16="http://schemas.microsoft.com/office/drawing/2014/main" id="{D06C1BAE-096D-471F-827D-22F9D5C1E7EF}"/>
            </a:ext>
          </a:extLst>
        </xdr:cNvPr>
        <xdr:cNvSpPr txBox="1">
          <a:spLocks noChangeArrowheads="1"/>
        </xdr:cNvSpPr>
      </xdr:nvSpPr>
      <xdr:spPr bwMode="auto">
        <a:xfrm>
          <a:off x="13565504" y="4236721"/>
          <a:ext cx="1971676" cy="2514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de Depreciação</a:t>
          </a:r>
        </a:p>
      </xdr:txBody>
    </xdr:sp>
    <xdr:clientData/>
  </xdr:twoCellAnchor>
  <xdr:twoCellAnchor>
    <xdr:from>
      <xdr:col>9</xdr:col>
      <xdr:colOff>708660</xdr:colOff>
      <xdr:row>8</xdr:row>
      <xdr:rowOff>70485</xdr:rowOff>
    </xdr:from>
    <xdr:to>
      <xdr:col>10</xdr:col>
      <xdr:colOff>807720</xdr:colOff>
      <xdr:row>9</xdr:row>
      <xdr:rowOff>60960</xdr:rowOff>
    </xdr:to>
    <xdr:sp macro="" textlink="">
      <xdr:nvSpPr>
        <xdr:cNvPr id="118" name="Text Box 108">
          <a:extLst>
            <a:ext uri="{FF2B5EF4-FFF2-40B4-BE49-F238E27FC236}">
              <a16:creationId xmlns:a16="http://schemas.microsoft.com/office/drawing/2014/main" id="{63A9F82B-56C5-4A35-A5EF-004569585692}"/>
            </a:ext>
          </a:extLst>
        </xdr:cNvPr>
        <xdr:cNvSpPr txBox="1">
          <a:spLocks noChangeArrowheads="1"/>
        </xdr:cNvSpPr>
      </xdr:nvSpPr>
      <xdr:spPr bwMode="auto">
        <a:xfrm>
          <a:off x="13952220" y="2813685"/>
          <a:ext cx="1653540" cy="3028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Custo de mão de obra</a:t>
          </a:r>
        </a:p>
      </xdr:txBody>
    </xdr:sp>
    <xdr:clientData/>
  </xdr:twoCellAnchor>
  <xdr:twoCellAnchor>
    <xdr:from>
      <xdr:col>7</xdr:col>
      <xdr:colOff>746760</xdr:colOff>
      <xdr:row>4</xdr:row>
      <xdr:rowOff>68580</xdr:rowOff>
    </xdr:from>
    <xdr:to>
      <xdr:col>8</xdr:col>
      <xdr:colOff>563880</xdr:colOff>
      <xdr:row>5</xdr:row>
      <xdr:rowOff>0</xdr:rowOff>
    </xdr:to>
    <xdr:sp macro="" textlink="">
      <xdr:nvSpPr>
        <xdr:cNvPr id="124" name="Text Box 118">
          <a:extLst>
            <a:ext uri="{FF2B5EF4-FFF2-40B4-BE49-F238E27FC236}">
              <a16:creationId xmlns:a16="http://schemas.microsoft.com/office/drawing/2014/main" id="{41060673-270D-4710-BB04-E087E847106E}"/>
            </a:ext>
          </a:extLst>
        </xdr:cNvPr>
        <xdr:cNvSpPr txBox="1">
          <a:spLocks noChangeArrowheads="1"/>
        </xdr:cNvSpPr>
      </xdr:nvSpPr>
      <xdr:spPr bwMode="auto">
        <a:xfrm>
          <a:off x="11209020" y="1394460"/>
          <a:ext cx="1135380" cy="2362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Salários a pagar</a:t>
          </a:r>
        </a:p>
      </xdr:txBody>
    </xdr:sp>
    <xdr:clientData/>
  </xdr:twoCellAnchor>
  <xdr:twoCellAnchor>
    <xdr:from>
      <xdr:col>7</xdr:col>
      <xdr:colOff>666750</xdr:colOff>
      <xdr:row>6</xdr:row>
      <xdr:rowOff>76200</xdr:rowOff>
    </xdr:from>
    <xdr:to>
      <xdr:col>8</xdr:col>
      <xdr:colOff>800100</xdr:colOff>
      <xdr:row>6</xdr:row>
      <xdr:rowOff>301142</xdr:rowOff>
    </xdr:to>
    <xdr:sp macro="" textlink="">
      <xdr:nvSpPr>
        <xdr:cNvPr id="127" name="Text Box 121">
          <a:extLst>
            <a:ext uri="{FF2B5EF4-FFF2-40B4-BE49-F238E27FC236}">
              <a16:creationId xmlns:a16="http://schemas.microsoft.com/office/drawing/2014/main" id="{46043FAA-E0EE-4E3A-8C8E-DE6CA41710C2}"/>
            </a:ext>
          </a:extLst>
        </xdr:cNvPr>
        <xdr:cNvSpPr txBox="1">
          <a:spLocks noChangeArrowheads="1"/>
        </xdr:cNvSpPr>
      </xdr:nvSpPr>
      <xdr:spPr bwMode="auto">
        <a:xfrm>
          <a:off x="11129010" y="2118360"/>
          <a:ext cx="1451610" cy="2249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Empréstimos a pagar</a:t>
          </a:r>
        </a:p>
      </xdr:txBody>
    </xdr:sp>
    <xdr:clientData/>
  </xdr:twoCellAnchor>
  <xdr:twoCellAnchor>
    <xdr:from>
      <xdr:col>7</xdr:col>
      <xdr:colOff>167640</xdr:colOff>
      <xdr:row>3</xdr:row>
      <xdr:rowOff>0</xdr:rowOff>
    </xdr:from>
    <xdr:to>
      <xdr:col>8</xdr:col>
      <xdr:colOff>1295400</xdr:colOff>
      <xdr:row>3</xdr:row>
      <xdr:rowOff>0</xdr:rowOff>
    </xdr:to>
    <xdr:sp macro="" textlink="">
      <xdr:nvSpPr>
        <xdr:cNvPr id="128" name="Line 125">
          <a:extLst>
            <a:ext uri="{FF2B5EF4-FFF2-40B4-BE49-F238E27FC236}">
              <a16:creationId xmlns:a16="http://schemas.microsoft.com/office/drawing/2014/main" id="{ACB2433C-6695-460B-9C3E-750CA13DE9CE}"/>
            </a:ext>
          </a:extLst>
        </xdr:cNvPr>
        <xdr:cNvSpPr>
          <a:spLocks noChangeShapeType="1"/>
        </xdr:cNvSpPr>
      </xdr:nvSpPr>
      <xdr:spPr bwMode="auto">
        <a:xfrm>
          <a:off x="10629900" y="9372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5</xdr:row>
      <xdr:rowOff>0</xdr:rowOff>
    </xdr:from>
    <xdr:to>
      <xdr:col>10</xdr:col>
      <xdr:colOff>1097280</xdr:colOff>
      <xdr:row>5</xdr:row>
      <xdr:rowOff>0</xdr:rowOff>
    </xdr:to>
    <xdr:sp macro="" textlink="">
      <xdr:nvSpPr>
        <xdr:cNvPr id="132" name="Line 135">
          <a:extLst>
            <a:ext uri="{FF2B5EF4-FFF2-40B4-BE49-F238E27FC236}">
              <a16:creationId xmlns:a16="http://schemas.microsoft.com/office/drawing/2014/main" id="{85A595CD-ED1B-4F9A-938E-A707DE365516}"/>
            </a:ext>
          </a:extLst>
        </xdr:cNvPr>
        <xdr:cNvSpPr>
          <a:spLocks noChangeShapeType="1"/>
        </xdr:cNvSpPr>
      </xdr:nvSpPr>
      <xdr:spPr bwMode="auto">
        <a:xfrm>
          <a:off x="13350240" y="1630680"/>
          <a:ext cx="22555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5</xdr:row>
      <xdr:rowOff>7620</xdr:rowOff>
    </xdr:from>
    <xdr:to>
      <xdr:col>10</xdr:col>
      <xdr:colOff>7620</xdr:colOff>
      <xdr:row>5</xdr:row>
      <xdr:rowOff>388620</xdr:rowOff>
    </xdr:to>
    <xdr:sp macro="" textlink="">
      <xdr:nvSpPr>
        <xdr:cNvPr id="135" name="Line 142">
          <a:extLst>
            <a:ext uri="{FF2B5EF4-FFF2-40B4-BE49-F238E27FC236}">
              <a16:creationId xmlns:a16="http://schemas.microsoft.com/office/drawing/2014/main" id="{F5C43273-2ECB-4996-BEA7-4CECCBEA196E}"/>
            </a:ext>
          </a:extLst>
        </xdr:cNvPr>
        <xdr:cNvSpPr>
          <a:spLocks noChangeShapeType="1"/>
        </xdr:cNvSpPr>
      </xdr:nvSpPr>
      <xdr:spPr bwMode="auto">
        <a:xfrm>
          <a:off x="14805660" y="16383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</xdr:colOff>
      <xdr:row>3</xdr:row>
      <xdr:rowOff>0</xdr:rowOff>
    </xdr:from>
    <xdr:to>
      <xdr:col>4</xdr:col>
      <xdr:colOff>1219200</xdr:colOff>
      <xdr:row>3</xdr:row>
      <xdr:rowOff>0</xdr:rowOff>
    </xdr:to>
    <xdr:sp macro="" textlink="">
      <xdr:nvSpPr>
        <xdr:cNvPr id="87" name="Line 68">
          <a:extLst>
            <a:ext uri="{FF2B5EF4-FFF2-40B4-BE49-F238E27FC236}">
              <a16:creationId xmlns:a16="http://schemas.microsoft.com/office/drawing/2014/main" id="{4E434341-7154-435A-B75F-71AED0FA1E0F}"/>
            </a:ext>
          </a:extLst>
        </xdr:cNvPr>
        <xdr:cNvSpPr>
          <a:spLocks noChangeShapeType="1"/>
        </xdr:cNvSpPr>
      </xdr:nvSpPr>
      <xdr:spPr bwMode="auto">
        <a:xfrm>
          <a:off x="5234940" y="937260"/>
          <a:ext cx="2506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</xdr:colOff>
      <xdr:row>16</xdr:row>
      <xdr:rowOff>45720</xdr:rowOff>
    </xdr:from>
    <xdr:to>
      <xdr:col>1</xdr:col>
      <xdr:colOff>3070860</xdr:colOff>
      <xdr:row>17</xdr:row>
      <xdr:rowOff>135255</xdr:rowOff>
    </xdr:to>
    <xdr:sp macro="" textlink="">
      <xdr:nvSpPr>
        <xdr:cNvPr id="141" name="Text Box 93">
          <a:extLst>
            <a:ext uri="{FF2B5EF4-FFF2-40B4-BE49-F238E27FC236}">
              <a16:creationId xmlns:a16="http://schemas.microsoft.com/office/drawing/2014/main" id="{6B3D3101-7D54-4171-B14F-F68005CB570E}"/>
            </a:ext>
          </a:extLst>
        </xdr:cNvPr>
        <xdr:cNvSpPr txBox="1">
          <a:spLocks noChangeArrowheads="1"/>
        </xdr:cNvSpPr>
      </xdr:nvSpPr>
      <xdr:spPr bwMode="auto">
        <a:xfrm>
          <a:off x="457200" y="5577840"/>
          <a:ext cx="3040380" cy="2724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(Destino) D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Conta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</a:t>
          </a: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 (Origem)</a:t>
          </a:r>
        </a:p>
      </xdr:txBody>
    </xdr:sp>
    <xdr:clientData/>
  </xdr:twoCellAnchor>
  <xdr:twoCellAnchor>
    <xdr:from>
      <xdr:col>1</xdr:col>
      <xdr:colOff>1386840</xdr:colOff>
      <xdr:row>17</xdr:row>
      <xdr:rowOff>163830</xdr:rowOff>
    </xdr:from>
    <xdr:to>
      <xdr:col>1</xdr:col>
      <xdr:colOff>1386840</xdr:colOff>
      <xdr:row>20</xdr:row>
      <xdr:rowOff>57150</xdr:rowOff>
    </xdr:to>
    <xdr:sp macro="" textlink="">
      <xdr:nvSpPr>
        <xdr:cNvPr id="143" name="Line 98">
          <a:extLst>
            <a:ext uri="{FF2B5EF4-FFF2-40B4-BE49-F238E27FC236}">
              <a16:creationId xmlns:a16="http://schemas.microsoft.com/office/drawing/2014/main" id="{5F4441AC-D35F-42A2-AE4C-1E2074CEFFE8}"/>
            </a:ext>
          </a:extLst>
        </xdr:cNvPr>
        <xdr:cNvSpPr>
          <a:spLocks noChangeShapeType="1"/>
        </xdr:cNvSpPr>
      </xdr:nvSpPr>
      <xdr:spPr bwMode="auto">
        <a:xfrm>
          <a:off x="1813560" y="5878830"/>
          <a:ext cx="0" cy="4419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381000</xdr:colOff>
      <xdr:row>17</xdr:row>
      <xdr:rowOff>152400</xdr:rowOff>
    </xdr:from>
    <xdr:to>
      <xdr:col>1</xdr:col>
      <xdr:colOff>2872740</xdr:colOff>
      <xdr:row>17</xdr:row>
      <xdr:rowOff>152400</xdr:rowOff>
    </xdr:to>
    <xdr:sp macro="" textlink="">
      <xdr:nvSpPr>
        <xdr:cNvPr id="144" name="Line 97">
          <a:extLst>
            <a:ext uri="{FF2B5EF4-FFF2-40B4-BE49-F238E27FC236}">
              <a16:creationId xmlns:a16="http://schemas.microsoft.com/office/drawing/2014/main" id="{68D55862-7D2F-7A39-F827-25F9C1DAE31F}"/>
            </a:ext>
          </a:extLst>
        </xdr:cNvPr>
        <xdr:cNvSpPr>
          <a:spLocks noChangeShapeType="1"/>
        </xdr:cNvSpPr>
      </xdr:nvSpPr>
      <xdr:spPr bwMode="auto">
        <a:xfrm>
          <a:off x="381000" y="5867400"/>
          <a:ext cx="2918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99060</xdr:colOff>
      <xdr:row>9</xdr:row>
      <xdr:rowOff>7620</xdr:rowOff>
    </xdr:from>
    <xdr:to>
      <xdr:col>5</xdr:col>
      <xdr:colOff>403860</xdr:colOff>
      <xdr:row>9</xdr:row>
      <xdr:rowOff>312420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4221F249-61BE-4824-A1C6-EB90DF0E5A80}"/>
            </a:ext>
          </a:extLst>
        </xdr:cNvPr>
        <xdr:cNvSpPr/>
      </xdr:nvSpPr>
      <xdr:spPr>
        <a:xfrm>
          <a:off x="8023860" y="3116580"/>
          <a:ext cx="304800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114300</xdr:colOff>
      <xdr:row>7</xdr:row>
      <xdr:rowOff>15240</xdr:rowOff>
    </xdr:from>
    <xdr:to>
      <xdr:col>5</xdr:col>
      <xdr:colOff>403860</xdr:colOff>
      <xdr:row>7</xdr:row>
      <xdr:rowOff>297180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AD702C17-C4F3-4D95-AFD6-27C9C31C7C0E}"/>
            </a:ext>
          </a:extLst>
        </xdr:cNvPr>
        <xdr:cNvSpPr/>
      </xdr:nvSpPr>
      <xdr:spPr>
        <a:xfrm>
          <a:off x="7459980" y="16459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10</xdr:col>
      <xdr:colOff>769620</xdr:colOff>
      <xdr:row>3</xdr:row>
      <xdr:rowOff>15240</xdr:rowOff>
    </xdr:from>
    <xdr:to>
      <xdr:col>10</xdr:col>
      <xdr:colOff>1059180</xdr:colOff>
      <xdr:row>3</xdr:row>
      <xdr:rowOff>304800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B9EFA62E-5649-461B-8D1E-04BD550DEC89}"/>
            </a:ext>
          </a:extLst>
        </xdr:cNvPr>
        <xdr:cNvSpPr/>
      </xdr:nvSpPr>
      <xdr:spPr>
        <a:xfrm>
          <a:off x="15765780" y="95250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236220</xdr:colOff>
      <xdr:row>5</xdr:row>
      <xdr:rowOff>22860</xdr:rowOff>
    </xdr:from>
    <xdr:to>
      <xdr:col>9</xdr:col>
      <xdr:colOff>525780</xdr:colOff>
      <xdr:row>5</xdr:row>
      <xdr:rowOff>304800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30F11DAA-2AE5-4F0D-ADA1-98265EEBF2B6}"/>
            </a:ext>
          </a:extLst>
        </xdr:cNvPr>
        <xdr:cNvSpPr/>
      </xdr:nvSpPr>
      <xdr:spPr>
        <a:xfrm>
          <a:off x="1347978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106680</xdr:colOff>
      <xdr:row>6</xdr:row>
      <xdr:rowOff>350520</xdr:rowOff>
    </xdr:from>
    <xdr:to>
      <xdr:col>10</xdr:col>
      <xdr:colOff>1112520</xdr:colOff>
      <xdr:row>6</xdr:row>
      <xdr:rowOff>350520</xdr:rowOff>
    </xdr:to>
    <xdr:sp macro="" textlink="">
      <xdr:nvSpPr>
        <xdr:cNvPr id="153" name="Line 135">
          <a:extLst>
            <a:ext uri="{FF2B5EF4-FFF2-40B4-BE49-F238E27FC236}">
              <a16:creationId xmlns:a16="http://schemas.microsoft.com/office/drawing/2014/main" id="{201D26DA-189D-445E-B551-6DD4E0A8F686}"/>
            </a:ext>
          </a:extLst>
        </xdr:cNvPr>
        <xdr:cNvSpPr>
          <a:spLocks noChangeShapeType="1"/>
        </xdr:cNvSpPr>
      </xdr:nvSpPr>
      <xdr:spPr bwMode="auto">
        <a:xfrm>
          <a:off x="13350240" y="2392680"/>
          <a:ext cx="2270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6</xdr:row>
      <xdr:rowOff>358140</xdr:rowOff>
    </xdr:from>
    <xdr:to>
      <xdr:col>10</xdr:col>
      <xdr:colOff>7620</xdr:colOff>
      <xdr:row>8</xdr:row>
      <xdr:rowOff>38100</xdr:rowOff>
    </xdr:to>
    <xdr:sp macro="" textlink="">
      <xdr:nvSpPr>
        <xdr:cNvPr id="154" name="Line 142">
          <a:extLst>
            <a:ext uri="{FF2B5EF4-FFF2-40B4-BE49-F238E27FC236}">
              <a16:creationId xmlns:a16="http://schemas.microsoft.com/office/drawing/2014/main" id="{BD472D0A-2FC3-43FE-97B8-EA7E08BC14CF}"/>
            </a:ext>
          </a:extLst>
        </xdr:cNvPr>
        <xdr:cNvSpPr>
          <a:spLocks noChangeShapeType="1"/>
        </xdr:cNvSpPr>
      </xdr:nvSpPr>
      <xdr:spPr bwMode="auto">
        <a:xfrm>
          <a:off x="14805660" y="24003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213360</xdr:colOff>
      <xdr:row>7</xdr:row>
      <xdr:rowOff>15240</xdr:rowOff>
    </xdr:from>
    <xdr:to>
      <xdr:col>9</xdr:col>
      <xdr:colOff>502920</xdr:colOff>
      <xdr:row>7</xdr:row>
      <xdr:rowOff>297180</xdr:rowOff>
    </xdr:to>
    <xdr:sp macro="" textlink="">
      <xdr:nvSpPr>
        <xdr:cNvPr id="156" name="Elipse 155">
          <a:extLst>
            <a:ext uri="{FF2B5EF4-FFF2-40B4-BE49-F238E27FC236}">
              <a16:creationId xmlns:a16="http://schemas.microsoft.com/office/drawing/2014/main" id="{E53BAD67-88CB-4B5A-B41B-933F7AA734F2}"/>
            </a:ext>
          </a:extLst>
        </xdr:cNvPr>
        <xdr:cNvSpPr/>
      </xdr:nvSpPr>
      <xdr:spPr>
        <a:xfrm>
          <a:off x="1345692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106680</xdr:colOff>
      <xdr:row>8</xdr:row>
      <xdr:rowOff>304800</xdr:rowOff>
    </xdr:from>
    <xdr:to>
      <xdr:col>10</xdr:col>
      <xdr:colOff>1127760</xdr:colOff>
      <xdr:row>9</xdr:row>
      <xdr:rowOff>7620</xdr:rowOff>
    </xdr:to>
    <xdr:sp macro="" textlink="">
      <xdr:nvSpPr>
        <xdr:cNvPr id="157" name="Line 135">
          <a:extLst>
            <a:ext uri="{FF2B5EF4-FFF2-40B4-BE49-F238E27FC236}">
              <a16:creationId xmlns:a16="http://schemas.microsoft.com/office/drawing/2014/main" id="{D4F1761F-9395-48FC-B633-628E5E854E01}"/>
            </a:ext>
          </a:extLst>
        </xdr:cNvPr>
        <xdr:cNvSpPr>
          <a:spLocks noChangeShapeType="1"/>
        </xdr:cNvSpPr>
      </xdr:nvSpPr>
      <xdr:spPr bwMode="auto">
        <a:xfrm>
          <a:off x="13350240" y="310134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9</xdr:row>
      <xdr:rowOff>0</xdr:rowOff>
    </xdr:from>
    <xdr:to>
      <xdr:col>10</xdr:col>
      <xdr:colOff>7620</xdr:colOff>
      <xdr:row>10</xdr:row>
      <xdr:rowOff>68580</xdr:rowOff>
    </xdr:to>
    <xdr:sp macro="" textlink="">
      <xdr:nvSpPr>
        <xdr:cNvPr id="158" name="Line 142">
          <a:extLst>
            <a:ext uri="{FF2B5EF4-FFF2-40B4-BE49-F238E27FC236}">
              <a16:creationId xmlns:a16="http://schemas.microsoft.com/office/drawing/2014/main" id="{4DEF958E-4FC5-487A-AFE2-4F9D9534C0EE}"/>
            </a:ext>
          </a:extLst>
        </xdr:cNvPr>
        <xdr:cNvSpPr>
          <a:spLocks noChangeShapeType="1"/>
        </xdr:cNvSpPr>
      </xdr:nvSpPr>
      <xdr:spPr bwMode="auto">
        <a:xfrm>
          <a:off x="14805660" y="305562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236220</xdr:colOff>
      <xdr:row>9</xdr:row>
      <xdr:rowOff>22860</xdr:rowOff>
    </xdr:from>
    <xdr:to>
      <xdr:col>9</xdr:col>
      <xdr:colOff>525780</xdr:colOff>
      <xdr:row>9</xdr:row>
      <xdr:rowOff>304800</xdr:rowOff>
    </xdr:to>
    <xdr:sp macro="" textlink="">
      <xdr:nvSpPr>
        <xdr:cNvPr id="159" name="Elipse 158">
          <a:extLst>
            <a:ext uri="{FF2B5EF4-FFF2-40B4-BE49-F238E27FC236}">
              <a16:creationId xmlns:a16="http://schemas.microsoft.com/office/drawing/2014/main" id="{A1F09A2C-9BB9-40DE-958B-40E3792EFD12}"/>
            </a:ext>
          </a:extLst>
        </xdr:cNvPr>
        <xdr:cNvSpPr/>
      </xdr:nvSpPr>
      <xdr:spPr>
        <a:xfrm>
          <a:off x="13479780" y="31318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8</xdr:col>
      <xdr:colOff>0</xdr:colOff>
      <xdr:row>5</xdr:row>
      <xdr:rowOff>7620</xdr:rowOff>
    </xdr:from>
    <xdr:to>
      <xdr:col>8</xdr:col>
      <xdr:colOff>0</xdr:colOff>
      <xdr:row>6</xdr:row>
      <xdr:rowOff>22860</xdr:rowOff>
    </xdr:to>
    <xdr:sp macro="" textlink="">
      <xdr:nvSpPr>
        <xdr:cNvPr id="160" name="Line 70">
          <a:extLst>
            <a:ext uri="{FF2B5EF4-FFF2-40B4-BE49-F238E27FC236}">
              <a16:creationId xmlns:a16="http://schemas.microsoft.com/office/drawing/2014/main" id="{B0CEFCD2-A722-4947-A063-F7F06B89D282}"/>
            </a:ext>
          </a:extLst>
        </xdr:cNvPr>
        <xdr:cNvSpPr>
          <a:spLocks noChangeShapeType="1"/>
        </xdr:cNvSpPr>
      </xdr:nvSpPr>
      <xdr:spPr bwMode="auto">
        <a:xfrm>
          <a:off x="11780520" y="1638300"/>
          <a:ext cx="0" cy="426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160020</xdr:colOff>
      <xdr:row>4</xdr:row>
      <xdr:rowOff>289560</xdr:rowOff>
    </xdr:from>
    <xdr:to>
      <xdr:col>8</xdr:col>
      <xdr:colOff>1287780</xdr:colOff>
      <xdr:row>4</xdr:row>
      <xdr:rowOff>289560</xdr:rowOff>
    </xdr:to>
    <xdr:sp macro="" textlink="">
      <xdr:nvSpPr>
        <xdr:cNvPr id="161" name="Line 125">
          <a:extLst>
            <a:ext uri="{FF2B5EF4-FFF2-40B4-BE49-F238E27FC236}">
              <a16:creationId xmlns:a16="http://schemas.microsoft.com/office/drawing/2014/main" id="{7D1FE110-4784-41A9-9BD7-ACBA133CAE25}"/>
            </a:ext>
          </a:extLst>
        </xdr:cNvPr>
        <xdr:cNvSpPr>
          <a:spLocks noChangeShapeType="1"/>
        </xdr:cNvSpPr>
      </xdr:nvSpPr>
      <xdr:spPr bwMode="auto">
        <a:xfrm>
          <a:off x="10622280" y="16154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</xdr:row>
      <xdr:rowOff>15240</xdr:rowOff>
    </xdr:from>
    <xdr:to>
      <xdr:col>8</xdr:col>
      <xdr:colOff>7620</xdr:colOff>
      <xdr:row>8</xdr:row>
      <xdr:rowOff>22860</xdr:rowOff>
    </xdr:to>
    <xdr:sp macro="" textlink="">
      <xdr:nvSpPr>
        <xdr:cNvPr id="162" name="Line 70">
          <a:extLst>
            <a:ext uri="{FF2B5EF4-FFF2-40B4-BE49-F238E27FC236}">
              <a16:creationId xmlns:a16="http://schemas.microsoft.com/office/drawing/2014/main" id="{F5ED12BF-14D4-45D6-8D70-EFEFD42C46F7}"/>
            </a:ext>
          </a:extLst>
        </xdr:cNvPr>
        <xdr:cNvSpPr>
          <a:spLocks noChangeShapeType="1"/>
        </xdr:cNvSpPr>
      </xdr:nvSpPr>
      <xdr:spPr bwMode="auto">
        <a:xfrm>
          <a:off x="11780520" y="243078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160020</xdr:colOff>
      <xdr:row>6</xdr:row>
      <xdr:rowOff>365760</xdr:rowOff>
    </xdr:from>
    <xdr:to>
      <xdr:col>8</xdr:col>
      <xdr:colOff>1287780</xdr:colOff>
      <xdr:row>6</xdr:row>
      <xdr:rowOff>365760</xdr:rowOff>
    </xdr:to>
    <xdr:sp macro="" textlink="">
      <xdr:nvSpPr>
        <xdr:cNvPr id="163" name="Line 125">
          <a:extLst>
            <a:ext uri="{FF2B5EF4-FFF2-40B4-BE49-F238E27FC236}">
              <a16:creationId xmlns:a16="http://schemas.microsoft.com/office/drawing/2014/main" id="{A4A3D2DB-4BE7-4B38-B534-B95EC57A662D}"/>
            </a:ext>
          </a:extLst>
        </xdr:cNvPr>
        <xdr:cNvSpPr>
          <a:spLocks noChangeShapeType="1"/>
        </xdr:cNvSpPr>
      </xdr:nvSpPr>
      <xdr:spPr bwMode="auto">
        <a:xfrm>
          <a:off x="10622280" y="24079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</xdr:row>
      <xdr:rowOff>15240</xdr:rowOff>
    </xdr:from>
    <xdr:to>
      <xdr:col>8</xdr:col>
      <xdr:colOff>7620</xdr:colOff>
      <xdr:row>10</xdr:row>
      <xdr:rowOff>53340</xdr:rowOff>
    </xdr:to>
    <xdr:sp macro="" textlink="">
      <xdr:nvSpPr>
        <xdr:cNvPr id="164" name="Line 70">
          <a:extLst>
            <a:ext uri="{FF2B5EF4-FFF2-40B4-BE49-F238E27FC236}">
              <a16:creationId xmlns:a16="http://schemas.microsoft.com/office/drawing/2014/main" id="{4A4A88B6-A136-40A4-A66E-474E9BFCFAF4}"/>
            </a:ext>
          </a:extLst>
        </xdr:cNvPr>
        <xdr:cNvSpPr>
          <a:spLocks noChangeShapeType="1"/>
        </xdr:cNvSpPr>
      </xdr:nvSpPr>
      <xdr:spPr bwMode="auto">
        <a:xfrm>
          <a:off x="11780520" y="312420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9</xdr:row>
      <xdr:rowOff>22860</xdr:rowOff>
    </xdr:from>
    <xdr:to>
      <xdr:col>8</xdr:col>
      <xdr:colOff>1280160</xdr:colOff>
      <xdr:row>9</xdr:row>
      <xdr:rowOff>22860</xdr:rowOff>
    </xdr:to>
    <xdr:sp macro="" textlink="">
      <xdr:nvSpPr>
        <xdr:cNvPr id="165" name="Line 125">
          <a:extLst>
            <a:ext uri="{FF2B5EF4-FFF2-40B4-BE49-F238E27FC236}">
              <a16:creationId xmlns:a16="http://schemas.microsoft.com/office/drawing/2014/main" id="{91F5EBDA-727F-4B78-9EB2-DDAEE632B293}"/>
            </a:ext>
          </a:extLst>
        </xdr:cNvPr>
        <xdr:cNvSpPr>
          <a:spLocks noChangeShapeType="1"/>
        </xdr:cNvSpPr>
      </xdr:nvSpPr>
      <xdr:spPr bwMode="auto">
        <a:xfrm>
          <a:off x="10614660" y="31318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800100</xdr:colOff>
      <xdr:row>5</xdr:row>
      <xdr:rowOff>22860</xdr:rowOff>
    </xdr:from>
    <xdr:to>
      <xdr:col>8</xdr:col>
      <xdr:colOff>1089660</xdr:colOff>
      <xdr:row>5</xdr:row>
      <xdr:rowOff>304800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121EEEFF-1507-44B6-AE93-1660F805D797}"/>
            </a:ext>
          </a:extLst>
        </xdr:cNvPr>
        <xdr:cNvSpPr/>
      </xdr:nvSpPr>
      <xdr:spPr>
        <a:xfrm>
          <a:off x="1258062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800100</xdr:colOff>
      <xdr:row>3</xdr:row>
      <xdr:rowOff>358140</xdr:rowOff>
    </xdr:from>
    <xdr:to>
      <xdr:col>4</xdr:col>
      <xdr:colOff>1127760</xdr:colOff>
      <xdr:row>4</xdr:row>
      <xdr:rowOff>274320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5A4C22C5-ECE1-42F7-A4D5-7DB832341435}"/>
            </a:ext>
          </a:extLst>
        </xdr:cNvPr>
        <xdr:cNvSpPr/>
      </xdr:nvSpPr>
      <xdr:spPr>
        <a:xfrm>
          <a:off x="7322820" y="1295400"/>
          <a:ext cx="327660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99060</xdr:colOff>
      <xdr:row>10</xdr:row>
      <xdr:rowOff>312420</xdr:rowOff>
    </xdr:from>
    <xdr:to>
      <xdr:col>10</xdr:col>
      <xdr:colOff>1120140</xdr:colOff>
      <xdr:row>10</xdr:row>
      <xdr:rowOff>327660</xdr:rowOff>
    </xdr:to>
    <xdr:sp macro="" textlink="">
      <xdr:nvSpPr>
        <xdr:cNvPr id="169" name="Line 135">
          <a:extLst>
            <a:ext uri="{FF2B5EF4-FFF2-40B4-BE49-F238E27FC236}">
              <a16:creationId xmlns:a16="http://schemas.microsoft.com/office/drawing/2014/main" id="{37E64DB3-63DE-4CC6-BC92-613151C6745C}"/>
            </a:ext>
          </a:extLst>
        </xdr:cNvPr>
        <xdr:cNvSpPr>
          <a:spLocks noChangeShapeType="1"/>
        </xdr:cNvSpPr>
      </xdr:nvSpPr>
      <xdr:spPr bwMode="auto">
        <a:xfrm>
          <a:off x="13342620" y="377190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10</xdr:row>
      <xdr:rowOff>320040</xdr:rowOff>
    </xdr:from>
    <xdr:to>
      <xdr:col>10</xdr:col>
      <xdr:colOff>0</xdr:colOff>
      <xdr:row>12</xdr:row>
      <xdr:rowOff>45720</xdr:rowOff>
    </xdr:to>
    <xdr:sp macro="" textlink="">
      <xdr:nvSpPr>
        <xdr:cNvPr id="170" name="Line 142">
          <a:extLst>
            <a:ext uri="{FF2B5EF4-FFF2-40B4-BE49-F238E27FC236}">
              <a16:creationId xmlns:a16="http://schemas.microsoft.com/office/drawing/2014/main" id="{6D187D1D-B095-4A5E-85E4-1FBEE18556ED}"/>
            </a:ext>
          </a:extLst>
        </xdr:cNvPr>
        <xdr:cNvSpPr>
          <a:spLocks noChangeShapeType="1"/>
        </xdr:cNvSpPr>
      </xdr:nvSpPr>
      <xdr:spPr bwMode="auto">
        <a:xfrm>
          <a:off x="14508480" y="377952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800100</xdr:colOff>
      <xdr:row>9</xdr:row>
      <xdr:rowOff>22860</xdr:rowOff>
    </xdr:from>
    <xdr:to>
      <xdr:col>8</xdr:col>
      <xdr:colOff>1089660</xdr:colOff>
      <xdr:row>9</xdr:row>
      <xdr:rowOff>304800</xdr:rowOff>
    </xdr:to>
    <xdr:sp macro="" textlink="">
      <xdr:nvSpPr>
        <xdr:cNvPr id="171" name="Elipse 170">
          <a:extLst>
            <a:ext uri="{FF2B5EF4-FFF2-40B4-BE49-F238E27FC236}">
              <a16:creationId xmlns:a16="http://schemas.microsoft.com/office/drawing/2014/main" id="{52551678-5203-4867-899D-4EBA74625DE6}"/>
            </a:ext>
          </a:extLst>
        </xdr:cNvPr>
        <xdr:cNvSpPr/>
      </xdr:nvSpPr>
      <xdr:spPr>
        <a:xfrm>
          <a:off x="1258062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</xdr:col>
      <xdr:colOff>144780</xdr:colOff>
      <xdr:row>4</xdr:row>
      <xdr:rowOff>22860</xdr:rowOff>
    </xdr:from>
    <xdr:to>
      <xdr:col>3</xdr:col>
      <xdr:colOff>434340</xdr:colOff>
      <xdr:row>4</xdr:row>
      <xdr:rowOff>289560</xdr:rowOff>
    </xdr:to>
    <xdr:sp macro="" textlink="">
      <xdr:nvSpPr>
        <xdr:cNvPr id="172" name="Elipse 171">
          <a:extLst>
            <a:ext uri="{FF2B5EF4-FFF2-40B4-BE49-F238E27FC236}">
              <a16:creationId xmlns:a16="http://schemas.microsoft.com/office/drawing/2014/main" id="{A5DBD242-68B2-4CCC-BB1C-4290D83DB4FA}"/>
            </a:ext>
          </a:extLst>
        </xdr:cNvPr>
        <xdr:cNvSpPr/>
      </xdr:nvSpPr>
      <xdr:spPr>
        <a:xfrm>
          <a:off x="5364480" y="96012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800100</xdr:colOff>
      <xdr:row>7</xdr:row>
      <xdr:rowOff>7620</xdr:rowOff>
    </xdr:from>
    <xdr:to>
      <xdr:col>8</xdr:col>
      <xdr:colOff>1089660</xdr:colOff>
      <xdr:row>7</xdr:row>
      <xdr:rowOff>289560</xdr:rowOff>
    </xdr:to>
    <xdr:sp macro="" textlink="">
      <xdr:nvSpPr>
        <xdr:cNvPr id="173" name="Elipse 172">
          <a:extLst>
            <a:ext uri="{FF2B5EF4-FFF2-40B4-BE49-F238E27FC236}">
              <a16:creationId xmlns:a16="http://schemas.microsoft.com/office/drawing/2014/main" id="{FFAEF122-B0B4-42F1-9B37-8035709FA514}"/>
            </a:ext>
          </a:extLst>
        </xdr:cNvPr>
        <xdr:cNvSpPr/>
      </xdr:nvSpPr>
      <xdr:spPr>
        <a:xfrm>
          <a:off x="12580620" y="9448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7620</xdr:colOff>
      <xdr:row>7</xdr:row>
      <xdr:rowOff>22860</xdr:rowOff>
    </xdr:from>
    <xdr:to>
      <xdr:col>8</xdr:col>
      <xdr:colOff>7620</xdr:colOff>
      <xdr:row>7</xdr:row>
      <xdr:rowOff>373380</xdr:rowOff>
    </xdr:to>
    <xdr:sp macro="" textlink="">
      <xdr:nvSpPr>
        <xdr:cNvPr id="174" name="Line 70">
          <a:extLst>
            <a:ext uri="{FF2B5EF4-FFF2-40B4-BE49-F238E27FC236}">
              <a16:creationId xmlns:a16="http://schemas.microsoft.com/office/drawing/2014/main" id="{128F9047-4D02-4CC0-A1EC-EF9DED120511}"/>
            </a:ext>
          </a:extLst>
        </xdr:cNvPr>
        <xdr:cNvSpPr>
          <a:spLocks noChangeShapeType="1"/>
        </xdr:cNvSpPr>
      </xdr:nvSpPr>
      <xdr:spPr bwMode="auto">
        <a:xfrm flipH="1">
          <a:off x="11788140" y="96012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266700</xdr:colOff>
      <xdr:row>7</xdr:row>
      <xdr:rowOff>15240</xdr:rowOff>
    </xdr:from>
    <xdr:to>
      <xdr:col>7</xdr:col>
      <xdr:colOff>556260</xdr:colOff>
      <xdr:row>7</xdr:row>
      <xdr:rowOff>297180</xdr:rowOff>
    </xdr:to>
    <xdr:sp macro="" textlink="">
      <xdr:nvSpPr>
        <xdr:cNvPr id="175" name="Elipse 174">
          <a:extLst>
            <a:ext uri="{FF2B5EF4-FFF2-40B4-BE49-F238E27FC236}">
              <a16:creationId xmlns:a16="http://schemas.microsoft.com/office/drawing/2014/main" id="{C83508D5-1D45-40F4-9E83-EACADBCAAED8}"/>
            </a:ext>
          </a:extLst>
        </xdr:cNvPr>
        <xdr:cNvSpPr/>
      </xdr:nvSpPr>
      <xdr:spPr>
        <a:xfrm>
          <a:off x="1060704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800100</xdr:colOff>
      <xdr:row>5</xdr:row>
      <xdr:rowOff>7620</xdr:rowOff>
    </xdr:from>
    <xdr:to>
      <xdr:col>4</xdr:col>
      <xdr:colOff>1143000</xdr:colOff>
      <xdr:row>5</xdr:row>
      <xdr:rowOff>320040</xdr:rowOff>
    </xdr:to>
    <xdr:sp macro="" textlink="">
      <xdr:nvSpPr>
        <xdr:cNvPr id="176" name="Elipse 175">
          <a:extLst>
            <a:ext uri="{FF2B5EF4-FFF2-40B4-BE49-F238E27FC236}">
              <a16:creationId xmlns:a16="http://schemas.microsoft.com/office/drawing/2014/main" id="{E5423AD6-F6BA-4F65-8DDE-9CBE6E8DDC3E}"/>
            </a:ext>
          </a:extLst>
        </xdr:cNvPr>
        <xdr:cNvSpPr/>
      </xdr:nvSpPr>
      <xdr:spPr>
        <a:xfrm>
          <a:off x="7322820" y="1638300"/>
          <a:ext cx="342900" cy="31242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236220</xdr:colOff>
      <xdr:row>11</xdr:row>
      <xdr:rowOff>22860</xdr:rowOff>
    </xdr:from>
    <xdr:to>
      <xdr:col>9</xdr:col>
      <xdr:colOff>525780</xdr:colOff>
      <xdr:row>11</xdr:row>
      <xdr:rowOff>304800</xdr:rowOff>
    </xdr:to>
    <xdr:sp macro="" textlink="">
      <xdr:nvSpPr>
        <xdr:cNvPr id="180" name="Elipse 179">
          <a:extLst>
            <a:ext uri="{FF2B5EF4-FFF2-40B4-BE49-F238E27FC236}">
              <a16:creationId xmlns:a16="http://schemas.microsoft.com/office/drawing/2014/main" id="{E1094FE3-DB2A-49D4-A59F-B52CBE8D4DC3}"/>
            </a:ext>
          </a:extLst>
        </xdr:cNvPr>
        <xdr:cNvSpPr/>
      </xdr:nvSpPr>
      <xdr:spPr>
        <a:xfrm>
          <a:off x="13479780" y="31318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106680</xdr:colOff>
      <xdr:row>12</xdr:row>
      <xdr:rowOff>327660</xdr:rowOff>
    </xdr:from>
    <xdr:to>
      <xdr:col>10</xdr:col>
      <xdr:colOff>1127760</xdr:colOff>
      <xdr:row>13</xdr:row>
      <xdr:rowOff>0</xdr:rowOff>
    </xdr:to>
    <xdr:sp macro="" textlink="">
      <xdr:nvSpPr>
        <xdr:cNvPr id="181" name="Line 135">
          <a:extLst>
            <a:ext uri="{FF2B5EF4-FFF2-40B4-BE49-F238E27FC236}">
              <a16:creationId xmlns:a16="http://schemas.microsoft.com/office/drawing/2014/main" id="{0D5716A8-8609-4004-AA85-74A7193900C1}"/>
            </a:ext>
          </a:extLst>
        </xdr:cNvPr>
        <xdr:cNvSpPr>
          <a:spLocks noChangeShapeType="1"/>
        </xdr:cNvSpPr>
      </xdr:nvSpPr>
      <xdr:spPr bwMode="auto">
        <a:xfrm>
          <a:off x="13350240" y="448056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12</xdr:row>
      <xdr:rowOff>335280</xdr:rowOff>
    </xdr:from>
    <xdr:to>
      <xdr:col>10</xdr:col>
      <xdr:colOff>7620</xdr:colOff>
      <xdr:row>14</xdr:row>
      <xdr:rowOff>45720</xdr:rowOff>
    </xdr:to>
    <xdr:sp macro="" textlink="">
      <xdr:nvSpPr>
        <xdr:cNvPr id="182" name="Line 142">
          <a:extLst>
            <a:ext uri="{FF2B5EF4-FFF2-40B4-BE49-F238E27FC236}">
              <a16:creationId xmlns:a16="http://schemas.microsoft.com/office/drawing/2014/main" id="{573F9AF0-EA23-4294-8FE4-26BA5A4316AE}"/>
            </a:ext>
          </a:extLst>
        </xdr:cNvPr>
        <xdr:cNvSpPr>
          <a:spLocks noChangeShapeType="1"/>
        </xdr:cNvSpPr>
      </xdr:nvSpPr>
      <xdr:spPr bwMode="auto">
        <a:xfrm flipH="1">
          <a:off x="14516100" y="448818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144780</xdr:colOff>
      <xdr:row>8</xdr:row>
      <xdr:rowOff>304800</xdr:rowOff>
    </xdr:from>
    <xdr:to>
      <xdr:col>6</xdr:col>
      <xdr:colOff>1104900</xdr:colOff>
      <xdr:row>8</xdr:row>
      <xdr:rowOff>304800</xdr:rowOff>
    </xdr:to>
    <xdr:sp macro="" textlink="">
      <xdr:nvSpPr>
        <xdr:cNvPr id="183" name="Line 97">
          <a:extLst>
            <a:ext uri="{FF2B5EF4-FFF2-40B4-BE49-F238E27FC236}">
              <a16:creationId xmlns:a16="http://schemas.microsoft.com/office/drawing/2014/main" id="{DD280C2D-D87E-4888-90F4-DBB7352AB66F}"/>
            </a:ext>
          </a:extLst>
        </xdr:cNvPr>
        <xdr:cNvSpPr>
          <a:spLocks noChangeShapeType="1"/>
        </xdr:cNvSpPr>
      </xdr:nvSpPr>
      <xdr:spPr bwMode="auto">
        <a:xfrm flipV="1">
          <a:off x="8069580" y="3101340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8</xdr:row>
      <xdr:rowOff>304800</xdr:rowOff>
    </xdr:from>
    <xdr:to>
      <xdr:col>6</xdr:col>
      <xdr:colOff>7620</xdr:colOff>
      <xdr:row>10</xdr:row>
      <xdr:rowOff>53340</xdr:rowOff>
    </xdr:to>
    <xdr:sp macro="" textlink="">
      <xdr:nvSpPr>
        <xdr:cNvPr id="184" name="Line 98">
          <a:extLst>
            <a:ext uri="{FF2B5EF4-FFF2-40B4-BE49-F238E27FC236}">
              <a16:creationId xmlns:a16="http://schemas.microsoft.com/office/drawing/2014/main" id="{CD5A9AD7-4E52-4CD8-8B1E-062D10775BBE}"/>
            </a:ext>
          </a:extLst>
        </xdr:cNvPr>
        <xdr:cNvSpPr>
          <a:spLocks noChangeShapeType="1"/>
        </xdr:cNvSpPr>
      </xdr:nvSpPr>
      <xdr:spPr bwMode="auto">
        <a:xfrm>
          <a:off x="9220200" y="310134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137160</xdr:colOff>
      <xdr:row>11</xdr:row>
      <xdr:rowOff>0</xdr:rowOff>
    </xdr:from>
    <xdr:to>
      <xdr:col>6</xdr:col>
      <xdr:colOff>1097280</xdr:colOff>
      <xdr:row>11</xdr:row>
      <xdr:rowOff>0</xdr:rowOff>
    </xdr:to>
    <xdr:sp macro="" textlink="">
      <xdr:nvSpPr>
        <xdr:cNvPr id="185" name="Line 97">
          <a:extLst>
            <a:ext uri="{FF2B5EF4-FFF2-40B4-BE49-F238E27FC236}">
              <a16:creationId xmlns:a16="http://schemas.microsoft.com/office/drawing/2014/main" id="{E209D856-AF79-4792-B4A2-EE88902E74EF}"/>
            </a:ext>
          </a:extLst>
        </xdr:cNvPr>
        <xdr:cNvSpPr>
          <a:spLocks noChangeShapeType="1"/>
        </xdr:cNvSpPr>
      </xdr:nvSpPr>
      <xdr:spPr bwMode="auto">
        <a:xfrm flipV="1">
          <a:off x="8061960" y="3794760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12</xdr:row>
      <xdr:rowOff>53340</xdr:rowOff>
    </xdr:to>
    <xdr:sp macro="" textlink="">
      <xdr:nvSpPr>
        <xdr:cNvPr id="186" name="Line 98">
          <a:extLst>
            <a:ext uri="{FF2B5EF4-FFF2-40B4-BE49-F238E27FC236}">
              <a16:creationId xmlns:a16="http://schemas.microsoft.com/office/drawing/2014/main" id="{48AFC108-95E5-4D51-8222-5F61C1CCC907}"/>
            </a:ext>
          </a:extLst>
        </xdr:cNvPr>
        <xdr:cNvSpPr>
          <a:spLocks noChangeShapeType="1"/>
        </xdr:cNvSpPr>
      </xdr:nvSpPr>
      <xdr:spPr bwMode="auto">
        <a:xfrm>
          <a:off x="9212580" y="379476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15</xdr:row>
      <xdr:rowOff>7620</xdr:rowOff>
    </xdr:from>
    <xdr:to>
      <xdr:col>10</xdr:col>
      <xdr:colOff>1127760</xdr:colOff>
      <xdr:row>15</xdr:row>
      <xdr:rowOff>22860</xdr:rowOff>
    </xdr:to>
    <xdr:sp macro="" textlink="">
      <xdr:nvSpPr>
        <xdr:cNvPr id="188" name="Line 135">
          <a:extLst>
            <a:ext uri="{FF2B5EF4-FFF2-40B4-BE49-F238E27FC236}">
              <a16:creationId xmlns:a16="http://schemas.microsoft.com/office/drawing/2014/main" id="{6D0F244A-AE03-4C44-AD4B-A40F0F6A8F54}"/>
            </a:ext>
          </a:extLst>
        </xdr:cNvPr>
        <xdr:cNvSpPr>
          <a:spLocks noChangeShapeType="1"/>
        </xdr:cNvSpPr>
      </xdr:nvSpPr>
      <xdr:spPr bwMode="auto">
        <a:xfrm>
          <a:off x="13350240" y="515874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15</xdr:row>
      <xdr:rowOff>15240</xdr:rowOff>
    </xdr:from>
    <xdr:to>
      <xdr:col>10</xdr:col>
      <xdr:colOff>7620</xdr:colOff>
      <xdr:row>16</xdr:row>
      <xdr:rowOff>106680</xdr:rowOff>
    </xdr:to>
    <xdr:sp macro="" textlink="">
      <xdr:nvSpPr>
        <xdr:cNvPr id="189" name="Line 142">
          <a:extLst>
            <a:ext uri="{FF2B5EF4-FFF2-40B4-BE49-F238E27FC236}">
              <a16:creationId xmlns:a16="http://schemas.microsoft.com/office/drawing/2014/main" id="{9841CE4F-CB19-4615-AC8C-1245D545318A}"/>
            </a:ext>
          </a:extLst>
        </xdr:cNvPr>
        <xdr:cNvSpPr>
          <a:spLocks noChangeShapeType="1"/>
        </xdr:cNvSpPr>
      </xdr:nvSpPr>
      <xdr:spPr bwMode="auto">
        <a:xfrm>
          <a:off x="14516100" y="516636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243840</xdr:colOff>
      <xdr:row>15</xdr:row>
      <xdr:rowOff>45720</xdr:rowOff>
    </xdr:from>
    <xdr:to>
      <xdr:col>9</xdr:col>
      <xdr:colOff>533400</xdr:colOff>
      <xdr:row>16</xdr:row>
      <xdr:rowOff>0</xdr:rowOff>
    </xdr:to>
    <xdr:sp macro="" textlink="">
      <xdr:nvSpPr>
        <xdr:cNvPr id="190" name="Elipse 189">
          <a:extLst>
            <a:ext uri="{FF2B5EF4-FFF2-40B4-BE49-F238E27FC236}">
              <a16:creationId xmlns:a16="http://schemas.microsoft.com/office/drawing/2014/main" id="{8D373744-8421-4A6C-8DD8-4992705FDCAD}"/>
            </a:ext>
          </a:extLst>
        </xdr:cNvPr>
        <xdr:cNvSpPr/>
      </xdr:nvSpPr>
      <xdr:spPr>
        <a:xfrm>
          <a:off x="13487400" y="51968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15240</xdr:colOff>
      <xdr:row>13</xdr:row>
      <xdr:rowOff>0</xdr:rowOff>
    </xdr:from>
    <xdr:to>
      <xdr:col>8</xdr:col>
      <xdr:colOff>15240</xdr:colOff>
      <xdr:row>14</xdr:row>
      <xdr:rowOff>7620</xdr:rowOff>
    </xdr:to>
    <xdr:sp macro="" textlink="">
      <xdr:nvSpPr>
        <xdr:cNvPr id="191" name="Line 70">
          <a:extLst>
            <a:ext uri="{FF2B5EF4-FFF2-40B4-BE49-F238E27FC236}">
              <a16:creationId xmlns:a16="http://schemas.microsoft.com/office/drawing/2014/main" id="{A1E5BBE3-F94B-4D82-B448-C22D1CF474D8}"/>
            </a:ext>
          </a:extLst>
        </xdr:cNvPr>
        <xdr:cNvSpPr>
          <a:spLocks noChangeShapeType="1"/>
        </xdr:cNvSpPr>
      </xdr:nvSpPr>
      <xdr:spPr bwMode="auto">
        <a:xfrm>
          <a:off x="11795760" y="4495800"/>
          <a:ext cx="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167640</xdr:colOff>
      <xdr:row>13</xdr:row>
      <xdr:rowOff>7620</xdr:rowOff>
    </xdr:from>
    <xdr:to>
      <xdr:col>8</xdr:col>
      <xdr:colOff>1295400</xdr:colOff>
      <xdr:row>13</xdr:row>
      <xdr:rowOff>7620</xdr:rowOff>
    </xdr:to>
    <xdr:sp macro="" textlink="">
      <xdr:nvSpPr>
        <xdr:cNvPr id="192" name="Line 125">
          <a:extLst>
            <a:ext uri="{FF2B5EF4-FFF2-40B4-BE49-F238E27FC236}">
              <a16:creationId xmlns:a16="http://schemas.microsoft.com/office/drawing/2014/main" id="{1A399B7D-4E9C-4D6F-B446-296E57095ED0}"/>
            </a:ext>
          </a:extLst>
        </xdr:cNvPr>
        <xdr:cNvSpPr>
          <a:spLocks noChangeShapeType="1"/>
        </xdr:cNvSpPr>
      </xdr:nvSpPr>
      <xdr:spPr bwMode="auto">
        <a:xfrm>
          <a:off x="10629900" y="45034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14</xdr:row>
      <xdr:rowOff>91440</xdr:rowOff>
    </xdr:from>
    <xdr:to>
      <xdr:col>10</xdr:col>
      <xdr:colOff>762000</xdr:colOff>
      <xdr:row>15</xdr:row>
      <xdr:rowOff>38100</xdr:rowOff>
    </xdr:to>
    <xdr:sp macro="" textlink="">
      <xdr:nvSpPr>
        <xdr:cNvPr id="2" name="Text Box 140">
          <a:extLst>
            <a:ext uri="{FF2B5EF4-FFF2-40B4-BE49-F238E27FC236}">
              <a16:creationId xmlns:a16="http://schemas.microsoft.com/office/drawing/2014/main" id="{A2686D0B-1718-4F9C-B9E1-77281395CAF7}"/>
            </a:ext>
          </a:extLst>
        </xdr:cNvPr>
        <xdr:cNvSpPr txBox="1">
          <a:spLocks noChangeArrowheads="1"/>
        </xdr:cNvSpPr>
      </xdr:nvSpPr>
      <xdr:spPr bwMode="auto">
        <a:xfrm>
          <a:off x="13708380" y="4983480"/>
          <a:ext cx="144018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financeiras</a:t>
          </a:r>
        </a:p>
      </xdr:txBody>
    </xdr:sp>
    <xdr:clientData/>
  </xdr:twoCellAnchor>
  <xdr:twoCellAnchor>
    <xdr:from>
      <xdr:col>5</xdr:col>
      <xdr:colOff>525780</xdr:colOff>
      <xdr:row>10</xdr:row>
      <xdr:rowOff>68580</xdr:rowOff>
    </xdr:from>
    <xdr:to>
      <xdr:col>6</xdr:col>
      <xdr:colOff>800100</xdr:colOff>
      <xdr:row>11</xdr:row>
      <xdr:rowOff>11589</xdr:rowOff>
    </xdr:to>
    <xdr:sp macro="" textlink="">
      <xdr:nvSpPr>
        <xdr:cNvPr id="3" name="Text Box 99">
          <a:extLst>
            <a:ext uri="{FF2B5EF4-FFF2-40B4-BE49-F238E27FC236}">
              <a16:creationId xmlns:a16="http://schemas.microsoft.com/office/drawing/2014/main" id="{42C8478C-9263-430E-94BE-754DCA0EC383}"/>
            </a:ext>
          </a:extLst>
        </xdr:cNvPr>
        <xdr:cNvSpPr txBox="1">
          <a:spLocks noChangeArrowheads="1"/>
        </xdr:cNvSpPr>
      </xdr:nvSpPr>
      <xdr:spPr bwMode="auto">
        <a:xfrm>
          <a:off x="8450580" y="3528060"/>
          <a:ext cx="1440180" cy="2782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Depreciação Acumulada</a:t>
          </a:r>
        </a:p>
      </xdr:txBody>
    </xdr:sp>
    <xdr:clientData/>
  </xdr:twoCellAnchor>
  <xdr:twoCellAnchor>
    <xdr:from>
      <xdr:col>9</xdr:col>
      <xdr:colOff>342900</xdr:colOff>
      <xdr:row>10</xdr:row>
      <xdr:rowOff>76200</xdr:rowOff>
    </xdr:from>
    <xdr:to>
      <xdr:col>10</xdr:col>
      <xdr:colOff>1049656</xdr:colOff>
      <xdr:row>10</xdr:row>
      <xdr:rowOff>327660</xdr:rowOff>
    </xdr:to>
    <xdr:sp macro="" textlink="">
      <xdr:nvSpPr>
        <xdr:cNvPr id="4" name="Text Box 106">
          <a:extLst>
            <a:ext uri="{FF2B5EF4-FFF2-40B4-BE49-F238E27FC236}">
              <a16:creationId xmlns:a16="http://schemas.microsoft.com/office/drawing/2014/main" id="{D1E7AEC2-1167-4530-8DA4-70A5E8683E6D}"/>
            </a:ext>
          </a:extLst>
        </xdr:cNvPr>
        <xdr:cNvSpPr txBox="1">
          <a:spLocks noChangeArrowheads="1"/>
        </xdr:cNvSpPr>
      </xdr:nvSpPr>
      <xdr:spPr bwMode="auto">
        <a:xfrm>
          <a:off x="13464540" y="3535680"/>
          <a:ext cx="1971676" cy="251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Administrativas</a:t>
          </a:r>
        </a:p>
      </xdr:txBody>
    </xdr:sp>
    <xdr:clientData/>
  </xdr:twoCellAnchor>
  <xdr:twoCellAnchor>
    <xdr:from>
      <xdr:col>9</xdr:col>
      <xdr:colOff>481965</xdr:colOff>
      <xdr:row>2</xdr:row>
      <xdr:rowOff>116205</xdr:rowOff>
    </xdr:from>
    <xdr:to>
      <xdr:col>10</xdr:col>
      <xdr:colOff>609600</xdr:colOff>
      <xdr:row>2</xdr:row>
      <xdr:rowOff>335280</xdr:rowOff>
    </xdr:to>
    <xdr:sp macro="" textlink="">
      <xdr:nvSpPr>
        <xdr:cNvPr id="5" name="Text Box 100">
          <a:extLst>
            <a:ext uri="{FF2B5EF4-FFF2-40B4-BE49-F238E27FC236}">
              <a16:creationId xmlns:a16="http://schemas.microsoft.com/office/drawing/2014/main" id="{270300DB-C146-47BE-8C6C-F5571AB40EBD}"/>
            </a:ext>
          </a:extLst>
        </xdr:cNvPr>
        <xdr:cNvSpPr txBox="1">
          <a:spLocks noChangeArrowheads="1"/>
        </xdr:cNvSpPr>
      </xdr:nvSpPr>
      <xdr:spPr bwMode="auto">
        <a:xfrm>
          <a:off x="13603605" y="672465"/>
          <a:ext cx="139255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Receita (Vendas)         </a:t>
          </a:r>
        </a:p>
      </xdr:txBody>
    </xdr:sp>
    <xdr:clientData/>
  </xdr:twoCellAnchor>
  <xdr:twoCellAnchor>
    <xdr:from>
      <xdr:col>9</xdr:col>
      <xdr:colOff>821055</xdr:colOff>
      <xdr:row>6</xdr:row>
      <xdr:rowOff>19051</xdr:rowOff>
    </xdr:from>
    <xdr:to>
      <xdr:col>10</xdr:col>
      <xdr:colOff>678180</xdr:colOff>
      <xdr:row>6</xdr:row>
      <xdr:rowOff>236221</xdr:rowOff>
    </xdr:to>
    <xdr:sp macro="" textlink="">
      <xdr:nvSpPr>
        <xdr:cNvPr id="6" name="Text Box 80">
          <a:extLst>
            <a:ext uri="{FF2B5EF4-FFF2-40B4-BE49-F238E27FC236}">
              <a16:creationId xmlns:a16="http://schemas.microsoft.com/office/drawing/2014/main" id="{1ECDC39A-B2E1-45B1-BF30-105C8D990A4E}"/>
            </a:ext>
          </a:extLst>
        </xdr:cNvPr>
        <xdr:cNvSpPr txBox="1">
          <a:spLocks noChangeArrowheads="1"/>
        </xdr:cNvSpPr>
      </xdr:nvSpPr>
      <xdr:spPr bwMode="auto">
        <a:xfrm>
          <a:off x="13942695" y="2061211"/>
          <a:ext cx="1122045" cy="2171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Custo do material</a:t>
          </a:r>
        </a:p>
      </xdr:txBody>
    </xdr:sp>
    <xdr:clientData/>
  </xdr:twoCellAnchor>
  <xdr:twoCellAnchor>
    <xdr:from>
      <xdr:col>9</xdr:col>
      <xdr:colOff>588644</xdr:colOff>
      <xdr:row>4</xdr:row>
      <xdr:rowOff>53341</xdr:rowOff>
    </xdr:from>
    <xdr:to>
      <xdr:col>10</xdr:col>
      <xdr:colOff>640079</xdr:colOff>
      <xdr:row>4</xdr:row>
      <xdr:rowOff>274321</xdr:rowOff>
    </xdr:to>
    <xdr:sp macro="" textlink="">
      <xdr:nvSpPr>
        <xdr:cNvPr id="7" name="Text Box 96">
          <a:extLst>
            <a:ext uri="{FF2B5EF4-FFF2-40B4-BE49-F238E27FC236}">
              <a16:creationId xmlns:a16="http://schemas.microsoft.com/office/drawing/2014/main" id="{D3ED5B29-F999-4A9F-B4C9-DD438EC747B5}"/>
            </a:ext>
          </a:extLst>
        </xdr:cNvPr>
        <xdr:cNvSpPr txBox="1">
          <a:spLocks noChangeArrowheads="1"/>
        </xdr:cNvSpPr>
      </xdr:nvSpPr>
      <xdr:spPr bwMode="auto">
        <a:xfrm>
          <a:off x="13710284" y="1379221"/>
          <a:ext cx="1316355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sobre vendas</a:t>
          </a:r>
        </a:p>
      </xdr:txBody>
    </xdr:sp>
    <xdr:clientData/>
  </xdr:twoCellAnchor>
  <xdr:twoCellAnchor>
    <xdr:from>
      <xdr:col>7</xdr:col>
      <xdr:colOff>382905</xdr:colOff>
      <xdr:row>2</xdr:row>
      <xdr:rowOff>108585</xdr:rowOff>
    </xdr:from>
    <xdr:to>
      <xdr:col>8</xdr:col>
      <xdr:colOff>876300</xdr:colOff>
      <xdr:row>2</xdr:row>
      <xdr:rowOff>365760</xdr:rowOff>
    </xdr:to>
    <xdr:sp macro="" textlink="">
      <xdr:nvSpPr>
        <xdr:cNvPr id="8" name="Text Box 74">
          <a:extLst>
            <a:ext uri="{FF2B5EF4-FFF2-40B4-BE49-F238E27FC236}">
              <a16:creationId xmlns:a16="http://schemas.microsoft.com/office/drawing/2014/main" id="{F38E5699-21A1-468B-9421-AA3F34B9F3A1}"/>
            </a:ext>
          </a:extLst>
        </xdr:cNvPr>
        <xdr:cNvSpPr txBox="1">
          <a:spLocks noChangeArrowheads="1"/>
        </xdr:cNvSpPr>
      </xdr:nvSpPr>
      <xdr:spPr bwMode="auto">
        <a:xfrm>
          <a:off x="10723245" y="664845"/>
          <a:ext cx="181165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Fornecedores a pagar        </a:t>
          </a:r>
        </a:p>
      </xdr:txBody>
    </xdr:sp>
    <xdr:clientData/>
  </xdr:twoCellAnchor>
  <xdr:twoCellAnchor>
    <xdr:from>
      <xdr:col>0</xdr:col>
      <xdr:colOff>121920</xdr:colOff>
      <xdr:row>2</xdr:row>
      <xdr:rowOff>76200</xdr:rowOff>
    </xdr:from>
    <xdr:to>
      <xdr:col>0</xdr:col>
      <xdr:colOff>411480</xdr:colOff>
      <xdr:row>2</xdr:row>
      <xdr:rowOff>342900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2FA774BF-6525-48C1-9507-F8F5527D255A}"/>
            </a:ext>
          </a:extLst>
        </xdr:cNvPr>
        <xdr:cNvSpPr/>
      </xdr:nvSpPr>
      <xdr:spPr>
        <a:xfrm>
          <a:off x="121920" y="6324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0</xdr:col>
      <xdr:colOff>121920</xdr:colOff>
      <xdr:row>3</xdr:row>
      <xdr:rowOff>0</xdr:rowOff>
    </xdr:from>
    <xdr:to>
      <xdr:col>0</xdr:col>
      <xdr:colOff>411480</xdr:colOff>
      <xdr:row>3</xdr:row>
      <xdr:rowOff>266700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5ED93242-02F3-4A32-912E-183B02D808B5}"/>
            </a:ext>
          </a:extLst>
        </xdr:cNvPr>
        <xdr:cNvSpPr/>
      </xdr:nvSpPr>
      <xdr:spPr>
        <a:xfrm>
          <a:off x="121920" y="9372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0</xdr:col>
      <xdr:colOff>121920</xdr:colOff>
      <xdr:row>4</xdr:row>
      <xdr:rowOff>0</xdr:rowOff>
    </xdr:from>
    <xdr:to>
      <xdr:col>0</xdr:col>
      <xdr:colOff>411480</xdr:colOff>
      <xdr:row>4</xdr:row>
      <xdr:rowOff>266700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A212956F-DEDA-4E4C-A010-6AA7AA79E556}"/>
            </a:ext>
          </a:extLst>
        </xdr:cNvPr>
        <xdr:cNvSpPr/>
      </xdr:nvSpPr>
      <xdr:spPr>
        <a:xfrm>
          <a:off x="121920" y="13258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0</xdr:col>
      <xdr:colOff>121920</xdr:colOff>
      <xdr:row>5</xdr:row>
      <xdr:rowOff>0</xdr:rowOff>
    </xdr:from>
    <xdr:to>
      <xdr:col>0</xdr:col>
      <xdr:colOff>411480</xdr:colOff>
      <xdr:row>5</xdr:row>
      <xdr:rowOff>266700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E5B23610-1BE3-46F2-98BA-1A78CE365708}"/>
            </a:ext>
          </a:extLst>
        </xdr:cNvPr>
        <xdr:cNvSpPr/>
      </xdr:nvSpPr>
      <xdr:spPr>
        <a:xfrm>
          <a:off x="121920" y="16306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0</xdr:col>
      <xdr:colOff>121920</xdr:colOff>
      <xdr:row>6</xdr:row>
      <xdr:rowOff>0</xdr:rowOff>
    </xdr:from>
    <xdr:to>
      <xdr:col>0</xdr:col>
      <xdr:colOff>411480</xdr:colOff>
      <xdr:row>6</xdr:row>
      <xdr:rowOff>266700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81515D54-B5D6-4652-9186-207063A35CC0}"/>
            </a:ext>
          </a:extLst>
        </xdr:cNvPr>
        <xdr:cNvSpPr/>
      </xdr:nvSpPr>
      <xdr:spPr>
        <a:xfrm>
          <a:off x="121920" y="20421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0</xdr:col>
      <xdr:colOff>121920</xdr:colOff>
      <xdr:row>9</xdr:row>
      <xdr:rowOff>0</xdr:rowOff>
    </xdr:from>
    <xdr:to>
      <xdr:col>0</xdr:col>
      <xdr:colOff>411480</xdr:colOff>
      <xdr:row>9</xdr:row>
      <xdr:rowOff>266700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3EA9D053-DDF5-42E8-B1B4-A9D0061EBDA7}"/>
            </a:ext>
          </a:extLst>
        </xdr:cNvPr>
        <xdr:cNvSpPr/>
      </xdr:nvSpPr>
      <xdr:spPr>
        <a:xfrm>
          <a:off x="121920" y="31089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0</xdr:col>
      <xdr:colOff>121920</xdr:colOff>
      <xdr:row>10</xdr:row>
      <xdr:rowOff>0</xdr:rowOff>
    </xdr:from>
    <xdr:to>
      <xdr:col>0</xdr:col>
      <xdr:colOff>411480</xdr:colOff>
      <xdr:row>10</xdr:row>
      <xdr:rowOff>266700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A428449D-5F6C-4F3D-BA67-F873EFDD71EE}"/>
            </a:ext>
          </a:extLst>
        </xdr:cNvPr>
        <xdr:cNvSpPr/>
      </xdr:nvSpPr>
      <xdr:spPr>
        <a:xfrm>
          <a:off x="121920" y="34594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929640</xdr:colOff>
      <xdr:row>13</xdr:row>
      <xdr:rowOff>30480</xdr:rowOff>
    </xdr:from>
    <xdr:to>
      <xdr:col>8</xdr:col>
      <xdr:colOff>1219200</xdr:colOff>
      <xdr:row>13</xdr:row>
      <xdr:rowOff>297180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C352BE4D-680E-4A0B-AE0C-AE362A750D0B}"/>
            </a:ext>
          </a:extLst>
        </xdr:cNvPr>
        <xdr:cNvSpPr/>
      </xdr:nvSpPr>
      <xdr:spPr>
        <a:xfrm>
          <a:off x="12588240" y="45262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3</xdr:col>
      <xdr:colOff>144780</xdr:colOff>
      <xdr:row>3</xdr:row>
      <xdr:rowOff>22860</xdr:rowOff>
    </xdr:from>
    <xdr:to>
      <xdr:col>3</xdr:col>
      <xdr:colOff>434340</xdr:colOff>
      <xdr:row>3</xdr:row>
      <xdr:rowOff>289560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789156C0-7992-4DE0-A329-CBADED1B7235}"/>
            </a:ext>
          </a:extLst>
        </xdr:cNvPr>
        <xdr:cNvSpPr/>
      </xdr:nvSpPr>
      <xdr:spPr>
        <a:xfrm>
          <a:off x="5364480" y="96012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4</xdr:col>
      <xdr:colOff>800100</xdr:colOff>
      <xdr:row>3</xdr:row>
      <xdr:rowOff>7620</xdr:rowOff>
    </xdr:from>
    <xdr:to>
      <xdr:col>4</xdr:col>
      <xdr:colOff>1127760</xdr:colOff>
      <xdr:row>3</xdr:row>
      <xdr:rowOff>297180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505467EF-A8A2-4582-B516-A3A63B180E86}"/>
            </a:ext>
          </a:extLst>
        </xdr:cNvPr>
        <xdr:cNvSpPr/>
      </xdr:nvSpPr>
      <xdr:spPr>
        <a:xfrm>
          <a:off x="7322820" y="944880"/>
          <a:ext cx="3276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114300</xdr:colOff>
      <xdr:row>5</xdr:row>
      <xdr:rowOff>15240</xdr:rowOff>
    </xdr:from>
    <xdr:to>
      <xdr:col>5</xdr:col>
      <xdr:colOff>403860</xdr:colOff>
      <xdr:row>5</xdr:row>
      <xdr:rowOff>297180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B729263-8E6D-439B-BDAF-ACBA13478699}"/>
            </a:ext>
          </a:extLst>
        </xdr:cNvPr>
        <xdr:cNvSpPr/>
      </xdr:nvSpPr>
      <xdr:spPr>
        <a:xfrm>
          <a:off x="8039100" y="16459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8</xdr:col>
      <xdr:colOff>800100</xdr:colOff>
      <xdr:row>3</xdr:row>
      <xdr:rowOff>7620</xdr:rowOff>
    </xdr:from>
    <xdr:to>
      <xdr:col>8</xdr:col>
      <xdr:colOff>1089660</xdr:colOff>
      <xdr:row>3</xdr:row>
      <xdr:rowOff>289560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DE2429BB-481F-40A0-8C44-9777F9E85AEB}"/>
            </a:ext>
          </a:extLst>
        </xdr:cNvPr>
        <xdr:cNvSpPr/>
      </xdr:nvSpPr>
      <xdr:spPr>
        <a:xfrm>
          <a:off x="12458700" y="9448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6</xdr:col>
      <xdr:colOff>769620</xdr:colOff>
      <xdr:row>5</xdr:row>
      <xdr:rowOff>30480</xdr:rowOff>
    </xdr:from>
    <xdr:to>
      <xdr:col>6</xdr:col>
      <xdr:colOff>1059180</xdr:colOff>
      <xdr:row>5</xdr:row>
      <xdr:rowOff>320040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4E54E453-7EE7-4038-B002-5D8B525239EA}"/>
            </a:ext>
          </a:extLst>
        </xdr:cNvPr>
        <xdr:cNvSpPr/>
      </xdr:nvSpPr>
      <xdr:spPr>
        <a:xfrm>
          <a:off x="9860280" y="166116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5</xdr:col>
      <xdr:colOff>121920</xdr:colOff>
      <xdr:row>3</xdr:row>
      <xdr:rowOff>15240</xdr:rowOff>
    </xdr:from>
    <xdr:to>
      <xdr:col>5</xdr:col>
      <xdr:colOff>411480</xdr:colOff>
      <xdr:row>3</xdr:row>
      <xdr:rowOff>304800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50A50C83-E7AB-46BF-B7E4-A5E7127C09C2}"/>
            </a:ext>
          </a:extLst>
        </xdr:cNvPr>
        <xdr:cNvSpPr/>
      </xdr:nvSpPr>
      <xdr:spPr>
        <a:xfrm>
          <a:off x="8046720" y="95250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7620</xdr:colOff>
      <xdr:row>9</xdr:row>
      <xdr:rowOff>15240</xdr:rowOff>
    </xdr:to>
    <xdr:sp macro="" textlink="">
      <xdr:nvSpPr>
        <xdr:cNvPr id="23" name="Line 69">
          <a:extLst>
            <a:ext uri="{FF2B5EF4-FFF2-40B4-BE49-F238E27FC236}">
              <a16:creationId xmlns:a16="http://schemas.microsoft.com/office/drawing/2014/main" id="{20CA0CAE-6B2E-45D8-A76B-2B8809D3BA1C}"/>
            </a:ext>
          </a:extLst>
        </xdr:cNvPr>
        <xdr:cNvSpPr>
          <a:spLocks noChangeShapeType="1"/>
        </xdr:cNvSpPr>
      </xdr:nvSpPr>
      <xdr:spPr bwMode="auto">
        <a:xfrm>
          <a:off x="6522720" y="937260"/>
          <a:ext cx="7620" cy="21869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3</xdr:row>
      <xdr:rowOff>22860</xdr:rowOff>
    </xdr:from>
    <xdr:to>
      <xdr:col>8</xdr:col>
      <xdr:colOff>7620</xdr:colOff>
      <xdr:row>3</xdr:row>
      <xdr:rowOff>373380</xdr:rowOff>
    </xdr:to>
    <xdr:sp macro="" textlink="">
      <xdr:nvSpPr>
        <xdr:cNvPr id="24" name="Line 70">
          <a:extLst>
            <a:ext uri="{FF2B5EF4-FFF2-40B4-BE49-F238E27FC236}">
              <a16:creationId xmlns:a16="http://schemas.microsoft.com/office/drawing/2014/main" id="{2D3E3FBE-C959-4DFB-8D85-C5C4847D549E}"/>
            </a:ext>
          </a:extLst>
        </xdr:cNvPr>
        <xdr:cNvSpPr>
          <a:spLocks noChangeShapeType="1"/>
        </xdr:cNvSpPr>
      </xdr:nvSpPr>
      <xdr:spPr bwMode="auto">
        <a:xfrm flipH="1">
          <a:off x="11666220" y="96012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464821</xdr:colOff>
      <xdr:row>2</xdr:row>
      <xdr:rowOff>110490</xdr:rowOff>
    </xdr:from>
    <xdr:to>
      <xdr:col>4</xdr:col>
      <xdr:colOff>982981</xdr:colOff>
      <xdr:row>2</xdr:row>
      <xdr:rowOff>350520</xdr:rowOff>
    </xdr:to>
    <xdr:sp macro="" textlink="">
      <xdr:nvSpPr>
        <xdr:cNvPr id="25" name="Text Box 71">
          <a:extLst>
            <a:ext uri="{FF2B5EF4-FFF2-40B4-BE49-F238E27FC236}">
              <a16:creationId xmlns:a16="http://schemas.microsoft.com/office/drawing/2014/main" id="{E4406FBC-DF09-42FF-9A4B-FF43DA81EB06}"/>
            </a:ext>
          </a:extLst>
        </xdr:cNvPr>
        <xdr:cNvSpPr txBox="1">
          <a:spLocks noChangeArrowheads="1"/>
        </xdr:cNvSpPr>
      </xdr:nvSpPr>
      <xdr:spPr bwMode="auto">
        <a:xfrm>
          <a:off x="5684521" y="666750"/>
          <a:ext cx="1821180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Caixa e Bancos     </a:t>
          </a:r>
        </a:p>
      </xdr:txBody>
    </xdr:sp>
    <xdr:clientData/>
  </xdr:twoCellAnchor>
  <xdr:twoCellAnchor>
    <xdr:from>
      <xdr:col>9</xdr:col>
      <xdr:colOff>205740</xdr:colOff>
      <xdr:row>2</xdr:row>
      <xdr:rowOff>373380</xdr:rowOff>
    </xdr:from>
    <xdr:to>
      <xdr:col>10</xdr:col>
      <xdr:colOff>1135380</xdr:colOff>
      <xdr:row>3</xdr:row>
      <xdr:rowOff>0</xdr:rowOff>
    </xdr:to>
    <xdr:sp macro="" textlink="">
      <xdr:nvSpPr>
        <xdr:cNvPr id="26" name="Line 72">
          <a:extLst>
            <a:ext uri="{FF2B5EF4-FFF2-40B4-BE49-F238E27FC236}">
              <a16:creationId xmlns:a16="http://schemas.microsoft.com/office/drawing/2014/main" id="{80B909C7-0AC4-4CC8-8026-30107C1D4B34}"/>
            </a:ext>
          </a:extLst>
        </xdr:cNvPr>
        <xdr:cNvSpPr>
          <a:spLocks noChangeShapeType="1"/>
        </xdr:cNvSpPr>
      </xdr:nvSpPr>
      <xdr:spPr bwMode="auto">
        <a:xfrm>
          <a:off x="13327380" y="929640"/>
          <a:ext cx="21945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7620</xdr:colOff>
      <xdr:row>4</xdr:row>
      <xdr:rowOff>15240</xdr:rowOff>
    </xdr:to>
    <xdr:sp macro="" textlink="">
      <xdr:nvSpPr>
        <xdr:cNvPr id="27" name="Line 73">
          <a:extLst>
            <a:ext uri="{FF2B5EF4-FFF2-40B4-BE49-F238E27FC236}">
              <a16:creationId xmlns:a16="http://schemas.microsoft.com/office/drawing/2014/main" id="{17CDEA28-72BA-4F45-9546-5FBDA7EF567E}"/>
            </a:ext>
          </a:extLst>
        </xdr:cNvPr>
        <xdr:cNvSpPr>
          <a:spLocks noChangeShapeType="1"/>
        </xdr:cNvSpPr>
      </xdr:nvSpPr>
      <xdr:spPr bwMode="auto">
        <a:xfrm>
          <a:off x="14386560" y="937260"/>
          <a:ext cx="762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864870</xdr:colOff>
      <xdr:row>12</xdr:row>
      <xdr:rowOff>87630</xdr:rowOff>
    </xdr:from>
    <xdr:to>
      <xdr:col>8</xdr:col>
      <xdr:colOff>453390</xdr:colOff>
      <xdr:row>12</xdr:row>
      <xdr:rowOff>308610</xdr:rowOff>
    </xdr:to>
    <xdr:sp macro="" textlink="">
      <xdr:nvSpPr>
        <xdr:cNvPr id="28" name="Text Box 76">
          <a:extLst>
            <a:ext uri="{FF2B5EF4-FFF2-40B4-BE49-F238E27FC236}">
              <a16:creationId xmlns:a16="http://schemas.microsoft.com/office/drawing/2014/main" id="{690E2483-84E8-40E7-A8D1-832605E4DB22}"/>
            </a:ext>
          </a:extLst>
        </xdr:cNvPr>
        <xdr:cNvSpPr txBox="1">
          <a:spLocks noChangeArrowheads="1"/>
        </xdr:cNvSpPr>
      </xdr:nvSpPr>
      <xdr:spPr bwMode="auto">
        <a:xfrm>
          <a:off x="11205210" y="4240530"/>
          <a:ext cx="906780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Capital</a:t>
          </a:r>
        </a:p>
      </xdr:txBody>
    </xdr:sp>
    <xdr:clientData/>
  </xdr:twoCellAnchor>
  <xdr:twoCellAnchor>
    <xdr:from>
      <xdr:col>5</xdr:col>
      <xdr:colOff>647700</xdr:colOff>
      <xdr:row>2</xdr:row>
      <xdr:rowOff>121920</xdr:rowOff>
    </xdr:from>
    <xdr:to>
      <xdr:col>6</xdr:col>
      <xdr:colOff>594360</xdr:colOff>
      <xdr:row>3</xdr:row>
      <xdr:rowOff>0</xdr:rowOff>
    </xdr:to>
    <xdr:sp macro="" textlink="">
      <xdr:nvSpPr>
        <xdr:cNvPr id="29" name="Text Box 78">
          <a:extLst>
            <a:ext uri="{FF2B5EF4-FFF2-40B4-BE49-F238E27FC236}">
              <a16:creationId xmlns:a16="http://schemas.microsoft.com/office/drawing/2014/main" id="{971E69ED-7D60-4ECD-A884-5C02B43CED59}"/>
            </a:ext>
          </a:extLst>
        </xdr:cNvPr>
        <xdr:cNvSpPr txBox="1">
          <a:spLocks noChangeArrowheads="1"/>
        </xdr:cNvSpPr>
      </xdr:nvSpPr>
      <xdr:spPr bwMode="auto">
        <a:xfrm>
          <a:off x="8572500" y="678180"/>
          <a:ext cx="1112520" cy="2590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Contas a receber</a:t>
          </a:r>
        </a:p>
      </xdr:txBody>
    </xdr:sp>
    <xdr:clientData/>
  </xdr:twoCellAnchor>
  <xdr:twoCellAnchor>
    <xdr:from>
      <xdr:col>5</xdr:col>
      <xdr:colOff>106680</xdr:colOff>
      <xdr:row>2</xdr:row>
      <xdr:rowOff>365760</xdr:rowOff>
    </xdr:from>
    <xdr:to>
      <xdr:col>6</xdr:col>
      <xdr:colOff>1021080</xdr:colOff>
      <xdr:row>2</xdr:row>
      <xdr:rowOff>365760</xdr:rowOff>
    </xdr:to>
    <xdr:sp macro="" textlink="">
      <xdr:nvSpPr>
        <xdr:cNvPr id="30" name="Line 90">
          <a:extLst>
            <a:ext uri="{FF2B5EF4-FFF2-40B4-BE49-F238E27FC236}">
              <a16:creationId xmlns:a16="http://schemas.microsoft.com/office/drawing/2014/main" id="{1757473E-5011-436F-8F64-2AA21BF1B9FD}"/>
            </a:ext>
          </a:extLst>
        </xdr:cNvPr>
        <xdr:cNvSpPr>
          <a:spLocks noChangeShapeType="1"/>
        </xdr:cNvSpPr>
      </xdr:nvSpPr>
      <xdr:spPr bwMode="auto">
        <a:xfrm>
          <a:off x="8031480" y="922020"/>
          <a:ext cx="20802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7620</xdr:colOff>
      <xdr:row>4</xdr:row>
      <xdr:rowOff>0</xdr:rowOff>
    </xdr:to>
    <xdr:sp macro="" textlink="">
      <xdr:nvSpPr>
        <xdr:cNvPr id="31" name="Line 91">
          <a:extLst>
            <a:ext uri="{FF2B5EF4-FFF2-40B4-BE49-F238E27FC236}">
              <a16:creationId xmlns:a16="http://schemas.microsoft.com/office/drawing/2014/main" id="{1E3782A0-4963-4687-B843-CD1B78417403}"/>
            </a:ext>
          </a:extLst>
        </xdr:cNvPr>
        <xdr:cNvSpPr>
          <a:spLocks noChangeShapeType="1"/>
        </xdr:cNvSpPr>
      </xdr:nvSpPr>
      <xdr:spPr bwMode="auto">
        <a:xfrm>
          <a:off x="9090660" y="93726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670560</xdr:colOff>
      <xdr:row>4</xdr:row>
      <xdr:rowOff>93345</xdr:rowOff>
    </xdr:from>
    <xdr:to>
      <xdr:col>6</xdr:col>
      <xdr:colOff>615267</xdr:colOff>
      <xdr:row>4</xdr:row>
      <xdr:rowOff>289560</xdr:rowOff>
    </xdr:to>
    <xdr:sp macro="" textlink="">
      <xdr:nvSpPr>
        <xdr:cNvPr id="32" name="Text Box 92">
          <a:extLst>
            <a:ext uri="{FF2B5EF4-FFF2-40B4-BE49-F238E27FC236}">
              <a16:creationId xmlns:a16="http://schemas.microsoft.com/office/drawing/2014/main" id="{EEFDB84C-E269-4B5B-B916-83E96179036B}"/>
            </a:ext>
          </a:extLst>
        </xdr:cNvPr>
        <xdr:cNvSpPr txBox="1">
          <a:spLocks noChangeArrowheads="1"/>
        </xdr:cNvSpPr>
      </xdr:nvSpPr>
      <xdr:spPr bwMode="auto">
        <a:xfrm>
          <a:off x="8595360" y="1419225"/>
          <a:ext cx="1110567" cy="196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Estoques</a:t>
          </a:r>
        </a:p>
      </xdr:txBody>
    </xdr:sp>
    <xdr:clientData/>
  </xdr:twoCellAnchor>
  <xdr:twoCellAnchor>
    <xdr:from>
      <xdr:col>5</xdr:col>
      <xdr:colOff>655320</xdr:colOff>
      <xdr:row>6</xdr:row>
      <xdr:rowOff>118110</xdr:rowOff>
    </xdr:from>
    <xdr:to>
      <xdr:col>6</xdr:col>
      <xdr:colOff>600026</xdr:colOff>
      <xdr:row>6</xdr:row>
      <xdr:rowOff>329565</xdr:rowOff>
    </xdr:to>
    <xdr:sp macro="" textlink="">
      <xdr:nvSpPr>
        <xdr:cNvPr id="33" name="Text Box 93">
          <a:extLst>
            <a:ext uri="{FF2B5EF4-FFF2-40B4-BE49-F238E27FC236}">
              <a16:creationId xmlns:a16="http://schemas.microsoft.com/office/drawing/2014/main" id="{77C5E872-AAAB-42A8-9FFF-1B7F93BB027F}"/>
            </a:ext>
          </a:extLst>
        </xdr:cNvPr>
        <xdr:cNvSpPr txBox="1">
          <a:spLocks noChangeArrowheads="1"/>
        </xdr:cNvSpPr>
      </xdr:nvSpPr>
      <xdr:spPr bwMode="auto">
        <a:xfrm>
          <a:off x="8580120" y="2160270"/>
          <a:ext cx="1110566" cy="2114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retido</a:t>
          </a:r>
        </a:p>
      </xdr:txBody>
    </xdr:sp>
    <xdr:clientData/>
  </xdr:twoCellAnchor>
  <xdr:twoCellAnchor>
    <xdr:from>
      <xdr:col>7</xdr:col>
      <xdr:colOff>874395</xdr:colOff>
      <xdr:row>8</xdr:row>
      <xdr:rowOff>55245</xdr:rowOff>
    </xdr:from>
    <xdr:to>
      <xdr:col>8</xdr:col>
      <xdr:colOff>493395</xdr:colOff>
      <xdr:row>8</xdr:row>
      <xdr:rowOff>274320</xdr:rowOff>
    </xdr:to>
    <xdr:sp macro="" textlink="">
      <xdr:nvSpPr>
        <xdr:cNvPr id="34" name="Text Box 95">
          <a:extLst>
            <a:ext uri="{FF2B5EF4-FFF2-40B4-BE49-F238E27FC236}">
              <a16:creationId xmlns:a16="http://schemas.microsoft.com/office/drawing/2014/main" id="{889F4F0B-BED3-4AD3-B9CD-4A2305D4FF73}"/>
            </a:ext>
          </a:extLst>
        </xdr:cNvPr>
        <xdr:cNvSpPr txBox="1">
          <a:spLocks noChangeArrowheads="1"/>
        </xdr:cNvSpPr>
      </xdr:nvSpPr>
      <xdr:spPr bwMode="auto">
        <a:xfrm>
          <a:off x="11214735" y="2851785"/>
          <a:ext cx="93726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a pagar</a:t>
          </a:r>
        </a:p>
      </xdr:txBody>
    </xdr:sp>
    <xdr:clientData/>
  </xdr:twoCellAnchor>
  <xdr:twoCellAnchor>
    <xdr:from>
      <xdr:col>5</xdr:col>
      <xdr:colOff>137160</xdr:colOff>
      <xdr:row>6</xdr:row>
      <xdr:rowOff>350520</xdr:rowOff>
    </xdr:from>
    <xdr:to>
      <xdr:col>6</xdr:col>
      <xdr:colOff>1097280</xdr:colOff>
      <xdr:row>6</xdr:row>
      <xdr:rowOff>350520</xdr:rowOff>
    </xdr:to>
    <xdr:sp macro="" textlink="">
      <xdr:nvSpPr>
        <xdr:cNvPr id="35" name="Line 97">
          <a:extLst>
            <a:ext uri="{FF2B5EF4-FFF2-40B4-BE49-F238E27FC236}">
              <a16:creationId xmlns:a16="http://schemas.microsoft.com/office/drawing/2014/main" id="{F5C4EF54-91A6-42C1-8193-D2752AF843A4}"/>
            </a:ext>
          </a:extLst>
        </xdr:cNvPr>
        <xdr:cNvSpPr>
          <a:spLocks noChangeShapeType="1"/>
        </xdr:cNvSpPr>
      </xdr:nvSpPr>
      <xdr:spPr bwMode="auto">
        <a:xfrm flipV="1">
          <a:off x="8061960" y="2392680"/>
          <a:ext cx="2125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</xdr:row>
      <xdr:rowOff>358140</xdr:rowOff>
    </xdr:from>
    <xdr:to>
      <xdr:col>6</xdr:col>
      <xdr:colOff>7620</xdr:colOff>
      <xdr:row>8</xdr:row>
      <xdr:rowOff>38100</xdr:rowOff>
    </xdr:to>
    <xdr:sp macro="" textlink="">
      <xdr:nvSpPr>
        <xdr:cNvPr id="36" name="Line 98">
          <a:extLst>
            <a:ext uri="{FF2B5EF4-FFF2-40B4-BE49-F238E27FC236}">
              <a16:creationId xmlns:a16="http://schemas.microsoft.com/office/drawing/2014/main" id="{FED51F04-6142-4142-A53E-140B849A589D}"/>
            </a:ext>
          </a:extLst>
        </xdr:cNvPr>
        <xdr:cNvSpPr>
          <a:spLocks noChangeShapeType="1"/>
        </xdr:cNvSpPr>
      </xdr:nvSpPr>
      <xdr:spPr bwMode="auto">
        <a:xfrm flipH="1">
          <a:off x="9090660" y="2400300"/>
          <a:ext cx="7620" cy="434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649605</xdr:colOff>
      <xdr:row>8</xdr:row>
      <xdr:rowOff>95250</xdr:rowOff>
    </xdr:from>
    <xdr:to>
      <xdr:col>6</xdr:col>
      <xdr:colOff>649605</xdr:colOff>
      <xdr:row>8</xdr:row>
      <xdr:rowOff>304959</xdr:rowOff>
    </xdr:to>
    <xdr:sp macro="" textlink="">
      <xdr:nvSpPr>
        <xdr:cNvPr id="37" name="Text Box 99">
          <a:extLst>
            <a:ext uri="{FF2B5EF4-FFF2-40B4-BE49-F238E27FC236}">
              <a16:creationId xmlns:a16="http://schemas.microsoft.com/office/drawing/2014/main" id="{04642248-DEFF-4A10-A8C1-EC5D7B4C5C7B}"/>
            </a:ext>
          </a:extLst>
        </xdr:cNvPr>
        <xdr:cNvSpPr txBox="1">
          <a:spLocks noChangeArrowheads="1"/>
        </xdr:cNvSpPr>
      </xdr:nvSpPr>
      <xdr:spPr bwMode="auto">
        <a:xfrm>
          <a:off x="8574405" y="2891790"/>
          <a:ext cx="1165860" cy="2097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Equipamento</a:t>
          </a:r>
        </a:p>
      </xdr:txBody>
    </xdr:sp>
    <xdr:clientData/>
  </xdr:twoCellAnchor>
  <xdr:twoCellAnchor>
    <xdr:from>
      <xdr:col>5</xdr:col>
      <xdr:colOff>121920</xdr:colOff>
      <xdr:row>5</xdr:row>
      <xdr:rowOff>0</xdr:rowOff>
    </xdr:from>
    <xdr:to>
      <xdr:col>6</xdr:col>
      <xdr:colOff>1089660</xdr:colOff>
      <xdr:row>5</xdr:row>
      <xdr:rowOff>7620</xdr:rowOff>
    </xdr:to>
    <xdr:sp macro="" textlink="">
      <xdr:nvSpPr>
        <xdr:cNvPr id="38" name="Line 101">
          <a:extLst>
            <a:ext uri="{FF2B5EF4-FFF2-40B4-BE49-F238E27FC236}">
              <a16:creationId xmlns:a16="http://schemas.microsoft.com/office/drawing/2014/main" id="{0EE44891-D9CD-4B15-8343-DBF42819C17B}"/>
            </a:ext>
          </a:extLst>
        </xdr:cNvPr>
        <xdr:cNvSpPr>
          <a:spLocks noChangeShapeType="1"/>
        </xdr:cNvSpPr>
      </xdr:nvSpPr>
      <xdr:spPr bwMode="auto">
        <a:xfrm>
          <a:off x="8046720" y="1630680"/>
          <a:ext cx="21336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</xdr:row>
      <xdr:rowOff>22860</xdr:rowOff>
    </xdr:from>
    <xdr:to>
      <xdr:col>6</xdr:col>
      <xdr:colOff>0</xdr:colOff>
      <xdr:row>6</xdr:row>
      <xdr:rowOff>0</xdr:rowOff>
    </xdr:to>
    <xdr:sp macro="" textlink="">
      <xdr:nvSpPr>
        <xdr:cNvPr id="39" name="Line 102">
          <a:extLst>
            <a:ext uri="{FF2B5EF4-FFF2-40B4-BE49-F238E27FC236}">
              <a16:creationId xmlns:a16="http://schemas.microsoft.com/office/drawing/2014/main" id="{82CEEB52-EE94-47E4-9821-A9FB26A05829}"/>
            </a:ext>
          </a:extLst>
        </xdr:cNvPr>
        <xdr:cNvSpPr>
          <a:spLocks noChangeShapeType="1"/>
        </xdr:cNvSpPr>
      </xdr:nvSpPr>
      <xdr:spPr bwMode="auto">
        <a:xfrm>
          <a:off x="9090660" y="1653540"/>
          <a:ext cx="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321944</xdr:colOff>
      <xdr:row>12</xdr:row>
      <xdr:rowOff>83821</xdr:rowOff>
    </xdr:from>
    <xdr:to>
      <xdr:col>10</xdr:col>
      <xdr:colOff>1028700</xdr:colOff>
      <xdr:row>12</xdr:row>
      <xdr:rowOff>335280</xdr:rowOff>
    </xdr:to>
    <xdr:sp macro="" textlink="">
      <xdr:nvSpPr>
        <xdr:cNvPr id="40" name="Text Box 106">
          <a:extLst>
            <a:ext uri="{FF2B5EF4-FFF2-40B4-BE49-F238E27FC236}">
              <a16:creationId xmlns:a16="http://schemas.microsoft.com/office/drawing/2014/main" id="{264F4FC4-9B17-4645-9345-5C05C6EBC8F4}"/>
            </a:ext>
          </a:extLst>
        </xdr:cNvPr>
        <xdr:cNvSpPr txBox="1">
          <a:spLocks noChangeArrowheads="1"/>
        </xdr:cNvSpPr>
      </xdr:nvSpPr>
      <xdr:spPr bwMode="auto">
        <a:xfrm>
          <a:off x="13443584" y="4236721"/>
          <a:ext cx="1971676" cy="2514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de Depreciação</a:t>
          </a:r>
        </a:p>
      </xdr:txBody>
    </xdr:sp>
    <xdr:clientData/>
  </xdr:twoCellAnchor>
  <xdr:twoCellAnchor>
    <xdr:from>
      <xdr:col>9</xdr:col>
      <xdr:colOff>708660</xdr:colOff>
      <xdr:row>8</xdr:row>
      <xdr:rowOff>70485</xdr:rowOff>
    </xdr:from>
    <xdr:to>
      <xdr:col>10</xdr:col>
      <xdr:colOff>807720</xdr:colOff>
      <xdr:row>9</xdr:row>
      <xdr:rowOff>60960</xdr:rowOff>
    </xdr:to>
    <xdr:sp macro="" textlink="">
      <xdr:nvSpPr>
        <xdr:cNvPr id="41" name="Text Box 108">
          <a:extLst>
            <a:ext uri="{FF2B5EF4-FFF2-40B4-BE49-F238E27FC236}">
              <a16:creationId xmlns:a16="http://schemas.microsoft.com/office/drawing/2014/main" id="{50B382FB-B296-4430-892C-11E353748F6B}"/>
            </a:ext>
          </a:extLst>
        </xdr:cNvPr>
        <xdr:cNvSpPr txBox="1">
          <a:spLocks noChangeArrowheads="1"/>
        </xdr:cNvSpPr>
      </xdr:nvSpPr>
      <xdr:spPr bwMode="auto">
        <a:xfrm>
          <a:off x="13830300" y="2867025"/>
          <a:ext cx="1363980" cy="3028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Custo de mão de obra</a:t>
          </a:r>
        </a:p>
      </xdr:txBody>
    </xdr:sp>
    <xdr:clientData/>
  </xdr:twoCellAnchor>
  <xdr:twoCellAnchor>
    <xdr:from>
      <xdr:col>7</xdr:col>
      <xdr:colOff>746760</xdr:colOff>
      <xdr:row>4</xdr:row>
      <xdr:rowOff>68580</xdr:rowOff>
    </xdr:from>
    <xdr:to>
      <xdr:col>8</xdr:col>
      <xdr:colOff>563880</xdr:colOff>
      <xdr:row>5</xdr:row>
      <xdr:rowOff>0</xdr:rowOff>
    </xdr:to>
    <xdr:sp macro="" textlink="">
      <xdr:nvSpPr>
        <xdr:cNvPr id="42" name="Text Box 118">
          <a:extLst>
            <a:ext uri="{FF2B5EF4-FFF2-40B4-BE49-F238E27FC236}">
              <a16:creationId xmlns:a16="http://schemas.microsoft.com/office/drawing/2014/main" id="{C4961223-A1A5-472C-8F33-3D70D8438AD9}"/>
            </a:ext>
          </a:extLst>
        </xdr:cNvPr>
        <xdr:cNvSpPr txBox="1">
          <a:spLocks noChangeArrowheads="1"/>
        </xdr:cNvSpPr>
      </xdr:nvSpPr>
      <xdr:spPr bwMode="auto">
        <a:xfrm>
          <a:off x="11087100" y="1394460"/>
          <a:ext cx="1135380" cy="2362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Salários a pagar</a:t>
          </a:r>
        </a:p>
      </xdr:txBody>
    </xdr:sp>
    <xdr:clientData/>
  </xdr:twoCellAnchor>
  <xdr:twoCellAnchor>
    <xdr:from>
      <xdr:col>7</xdr:col>
      <xdr:colOff>666750</xdr:colOff>
      <xdr:row>6</xdr:row>
      <xdr:rowOff>76200</xdr:rowOff>
    </xdr:from>
    <xdr:to>
      <xdr:col>8</xdr:col>
      <xdr:colOff>800100</xdr:colOff>
      <xdr:row>6</xdr:row>
      <xdr:rowOff>301142</xdr:rowOff>
    </xdr:to>
    <xdr:sp macro="" textlink="">
      <xdr:nvSpPr>
        <xdr:cNvPr id="43" name="Text Box 121">
          <a:extLst>
            <a:ext uri="{FF2B5EF4-FFF2-40B4-BE49-F238E27FC236}">
              <a16:creationId xmlns:a16="http://schemas.microsoft.com/office/drawing/2014/main" id="{631D2965-7DBE-4B59-B36F-271F7E19E6E0}"/>
            </a:ext>
          </a:extLst>
        </xdr:cNvPr>
        <xdr:cNvSpPr txBox="1">
          <a:spLocks noChangeArrowheads="1"/>
        </xdr:cNvSpPr>
      </xdr:nvSpPr>
      <xdr:spPr bwMode="auto">
        <a:xfrm>
          <a:off x="11007090" y="2118360"/>
          <a:ext cx="1451610" cy="2249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Empréstimos a pagar</a:t>
          </a:r>
        </a:p>
      </xdr:txBody>
    </xdr:sp>
    <xdr:clientData/>
  </xdr:twoCellAnchor>
  <xdr:twoCellAnchor>
    <xdr:from>
      <xdr:col>7</xdr:col>
      <xdr:colOff>167640</xdr:colOff>
      <xdr:row>3</xdr:row>
      <xdr:rowOff>0</xdr:rowOff>
    </xdr:from>
    <xdr:to>
      <xdr:col>8</xdr:col>
      <xdr:colOff>1295400</xdr:colOff>
      <xdr:row>3</xdr:row>
      <xdr:rowOff>0</xdr:rowOff>
    </xdr:to>
    <xdr:sp macro="" textlink="">
      <xdr:nvSpPr>
        <xdr:cNvPr id="44" name="Line 125">
          <a:extLst>
            <a:ext uri="{FF2B5EF4-FFF2-40B4-BE49-F238E27FC236}">
              <a16:creationId xmlns:a16="http://schemas.microsoft.com/office/drawing/2014/main" id="{C8AE0961-FF3F-45FB-A685-458E41B6A140}"/>
            </a:ext>
          </a:extLst>
        </xdr:cNvPr>
        <xdr:cNvSpPr>
          <a:spLocks noChangeShapeType="1"/>
        </xdr:cNvSpPr>
      </xdr:nvSpPr>
      <xdr:spPr bwMode="auto">
        <a:xfrm>
          <a:off x="10507980" y="9372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5</xdr:row>
      <xdr:rowOff>0</xdr:rowOff>
    </xdr:from>
    <xdr:to>
      <xdr:col>10</xdr:col>
      <xdr:colOff>1097280</xdr:colOff>
      <xdr:row>5</xdr:row>
      <xdr:rowOff>0</xdr:rowOff>
    </xdr:to>
    <xdr:sp macro="" textlink="">
      <xdr:nvSpPr>
        <xdr:cNvPr id="45" name="Line 135">
          <a:extLst>
            <a:ext uri="{FF2B5EF4-FFF2-40B4-BE49-F238E27FC236}">
              <a16:creationId xmlns:a16="http://schemas.microsoft.com/office/drawing/2014/main" id="{2672FC46-D167-4764-A2EA-8C1822430E0B}"/>
            </a:ext>
          </a:extLst>
        </xdr:cNvPr>
        <xdr:cNvSpPr>
          <a:spLocks noChangeShapeType="1"/>
        </xdr:cNvSpPr>
      </xdr:nvSpPr>
      <xdr:spPr bwMode="auto">
        <a:xfrm>
          <a:off x="13228320" y="1630680"/>
          <a:ext cx="22555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5</xdr:row>
      <xdr:rowOff>7620</xdr:rowOff>
    </xdr:from>
    <xdr:to>
      <xdr:col>10</xdr:col>
      <xdr:colOff>7620</xdr:colOff>
      <xdr:row>5</xdr:row>
      <xdr:rowOff>388620</xdr:rowOff>
    </xdr:to>
    <xdr:sp macro="" textlink="">
      <xdr:nvSpPr>
        <xdr:cNvPr id="46" name="Line 142">
          <a:extLst>
            <a:ext uri="{FF2B5EF4-FFF2-40B4-BE49-F238E27FC236}">
              <a16:creationId xmlns:a16="http://schemas.microsoft.com/office/drawing/2014/main" id="{5B4B446A-5530-446C-B58B-E15063582F7B}"/>
            </a:ext>
          </a:extLst>
        </xdr:cNvPr>
        <xdr:cNvSpPr>
          <a:spLocks noChangeShapeType="1"/>
        </xdr:cNvSpPr>
      </xdr:nvSpPr>
      <xdr:spPr bwMode="auto">
        <a:xfrm>
          <a:off x="14394180" y="16383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</xdr:colOff>
      <xdr:row>3</xdr:row>
      <xdr:rowOff>0</xdr:rowOff>
    </xdr:from>
    <xdr:to>
      <xdr:col>4</xdr:col>
      <xdr:colOff>1219200</xdr:colOff>
      <xdr:row>3</xdr:row>
      <xdr:rowOff>0</xdr:rowOff>
    </xdr:to>
    <xdr:sp macro="" textlink="">
      <xdr:nvSpPr>
        <xdr:cNvPr id="47" name="Line 68">
          <a:extLst>
            <a:ext uri="{FF2B5EF4-FFF2-40B4-BE49-F238E27FC236}">
              <a16:creationId xmlns:a16="http://schemas.microsoft.com/office/drawing/2014/main" id="{BC454DB6-ECD6-4C41-ABEF-5B2CA7718732}"/>
            </a:ext>
          </a:extLst>
        </xdr:cNvPr>
        <xdr:cNvSpPr>
          <a:spLocks noChangeShapeType="1"/>
        </xdr:cNvSpPr>
      </xdr:nvSpPr>
      <xdr:spPr bwMode="auto">
        <a:xfrm>
          <a:off x="5234940" y="937260"/>
          <a:ext cx="2506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</xdr:colOff>
      <xdr:row>16</xdr:row>
      <xdr:rowOff>45720</xdr:rowOff>
    </xdr:from>
    <xdr:to>
      <xdr:col>1</xdr:col>
      <xdr:colOff>3070860</xdr:colOff>
      <xdr:row>17</xdr:row>
      <xdr:rowOff>135255</xdr:rowOff>
    </xdr:to>
    <xdr:sp macro="" textlink="">
      <xdr:nvSpPr>
        <xdr:cNvPr id="48" name="Text Box 93">
          <a:extLst>
            <a:ext uri="{FF2B5EF4-FFF2-40B4-BE49-F238E27FC236}">
              <a16:creationId xmlns:a16="http://schemas.microsoft.com/office/drawing/2014/main" id="{4A2F10C6-DF32-47C5-934C-E7EE51137314}"/>
            </a:ext>
          </a:extLst>
        </xdr:cNvPr>
        <xdr:cNvSpPr txBox="1">
          <a:spLocks noChangeArrowheads="1"/>
        </xdr:cNvSpPr>
      </xdr:nvSpPr>
      <xdr:spPr bwMode="auto">
        <a:xfrm>
          <a:off x="457200" y="5593080"/>
          <a:ext cx="3040380" cy="2724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(Destino) D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Conta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</a:t>
          </a: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 (Origem)</a:t>
          </a:r>
        </a:p>
      </xdr:txBody>
    </xdr:sp>
    <xdr:clientData/>
  </xdr:twoCellAnchor>
  <xdr:twoCellAnchor>
    <xdr:from>
      <xdr:col>1</xdr:col>
      <xdr:colOff>1386840</xdr:colOff>
      <xdr:row>17</xdr:row>
      <xdr:rowOff>163830</xdr:rowOff>
    </xdr:from>
    <xdr:to>
      <xdr:col>1</xdr:col>
      <xdr:colOff>1386840</xdr:colOff>
      <xdr:row>20</xdr:row>
      <xdr:rowOff>57150</xdr:rowOff>
    </xdr:to>
    <xdr:sp macro="" textlink="">
      <xdr:nvSpPr>
        <xdr:cNvPr id="49" name="Line 98">
          <a:extLst>
            <a:ext uri="{FF2B5EF4-FFF2-40B4-BE49-F238E27FC236}">
              <a16:creationId xmlns:a16="http://schemas.microsoft.com/office/drawing/2014/main" id="{E39271D6-8B12-4332-86E9-2FA76A220CA2}"/>
            </a:ext>
          </a:extLst>
        </xdr:cNvPr>
        <xdr:cNvSpPr>
          <a:spLocks noChangeShapeType="1"/>
        </xdr:cNvSpPr>
      </xdr:nvSpPr>
      <xdr:spPr bwMode="auto">
        <a:xfrm>
          <a:off x="1813560" y="5894070"/>
          <a:ext cx="0" cy="4419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381000</xdr:colOff>
      <xdr:row>17</xdr:row>
      <xdr:rowOff>152400</xdr:rowOff>
    </xdr:from>
    <xdr:to>
      <xdr:col>1</xdr:col>
      <xdr:colOff>2872740</xdr:colOff>
      <xdr:row>17</xdr:row>
      <xdr:rowOff>152400</xdr:rowOff>
    </xdr:to>
    <xdr:sp macro="" textlink="">
      <xdr:nvSpPr>
        <xdr:cNvPr id="50" name="Line 97">
          <a:extLst>
            <a:ext uri="{FF2B5EF4-FFF2-40B4-BE49-F238E27FC236}">
              <a16:creationId xmlns:a16="http://schemas.microsoft.com/office/drawing/2014/main" id="{F8729C91-3C44-4B9A-8D5A-5B1A31A351F6}"/>
            </a:ext>
          </a:extLst>
        </xdr:cNvPr>
        <xdr:cNvSpPr>
          <a:spLocks noChangeShapeType="1"/>
        </xdr:cNvSpPr>
      </xdr:nvSpPr>
      <xdr:spPr bwMode="auto">
        <a:xfrm>
          <a:off x="381000" y="5882640"/>
          <a:ext cx="2918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99060</xdr:colOff>
      <xdr:row>9</xdr:row>
      <xdr:rowOff>7620</xdr:rowOff>
    </xdr:from>
    <xdr:to>
      <xdr:col>5</xdr:col>
      <xdr:colOff>403860</xdr:colOff>
      <xdr:row>9</xdr:row>
      <xdr:rowOff>312420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423871BF-8E28-4AA0-B420-FF8DD47EC6C7}"/>
            </a:ext>
          </a:extLst>
        </xdr:cNvPr>
        <xdr:cNvSpPr/>
      </xdr:nvSpPr>
      <xdr:spPr>
        <a:xfrm>
          <a:off x="8023860" y="3116580"/>
          <a:ext cx="304800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114300</xdr:colOff>
      <xdr:row>7</xdr:row>
      <xdr:rowOff>15240</xdr:rowOff>
    </xdr:from>
    <xdr:to>
      <xdr:col>5</xdr:col>
      <xdr:colOff>403860</xdr:colOff>
      <xdr:row>7</xdr:row>
      <xdr:rowOff>297180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8202CD66-C086-4C47-8E26-2A348EAD6741}"/>
            </a:ext>
          </a:extLst>
        </xdr:cNvPr>
        <xdr:cNvSpPr/>
      </xdr:nvSpPr>
      <xdr:spPr>
        <a:xfrm>
          <a:off x="803910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10</xdr:col>
      <xdr:colOff>769620</xdr:colOff>
      <xdr:row>3</xdr:row>
      <xdr:rowOff>15240</xdr:rowOff>
    </xdr:from>
    <xdr:to>
      <xdr:col>10</xdr:col>
      <xdr:colOff>1059180</xdr:colOff>
      <xdr:row>3</xdr:row>
      <xdr:rowOff>304800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812B45B1-C524-4BBB-AE3B-1D0BFC09457D}"/>
            </a:ext>
          </a:extLst>
        </xdr:cNvPr>
        <xdr:cNvSpPr/>
      </xdr:nvSpPr>
      <xdr:spPr>
        <a:xfrm>
          <a:off x="15156180" y="95250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236220</xdr:colOff>
      <xdr:row>5</xdr:row>
      <xdr:rowOff>22860</xdr:rowOff>
    </xdr:from>
    <xdr:to>
      <xdr:col>9</xdr:col>
      <xdr:colOff>525780</xdr:colOff>
      <xdr:row>5</xdr:row>
      <xdr:rowOff>304800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76B7E0A2-6154-47D5-ADF0-5358A905F476}"/>
            </a:ext>
          </a:extLst>
        </xdr:cNvPr>
        <xdr:cNvSpPr/>
      </xdr:nvSpPr>
      <xdr:spPr>
        <a:xfrm>
          <a:off x="1335786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106680</xdr:colOff>
      <xdr:row>6</xdr:row>
      <xdr:rowOff>350520</xdr:rowOff>
    </xdr:from>
    <xdr:to>
      <xdr:col>10</xdr:col>
      <xdr:colOff>1112520</xdr:colOff>
      <xdr:row>6</xdr:row>
      <xdr:rowOff>350520</xdr:rowOff>
    </xdr:to>
    <xdr:sp macro="" textlink="">
      <xdr:nvSpPr>
        <xdr:cNvPr id="55" name="Line 135">
          <a:extLst>
            <a:ext uri="{FF2B5EF4-FFF2-40B4-BE49-F238E27FC236}">
              <a16:creationId xmlns:a16="http://schemas.microsoft.com/office/drawing/2014/main" id="{CD0D1D6C-845D-4892-8B19-D32C586C3FAF}"/>
            </a:ext>
          </a:extLst>
        </xdr:cNvPr>
        <xdr:cNvSpPr>
          <a:spLocks noChangeShapeType="1"/>
        </xdr:cNvSpPr>
      </xdr:nvSpPr>
      <xdr:spPr bwMode="auto">
        <a:xfrm>
          <a:off x="13228320" y="2392680"/>
          <a:ext cx="2270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6</xdr:row>
      <xdr:rowOff>358140</xdr:rowOff>
    </xdr:from>
    <xdr:to>
      <xdr:col>10</xdr:col>
      <xdr:colOff>7620</xdr:colOff>
      <xdr:row>8</xdr:row>
      <xdr:rowOff>38100</xdr:rowOff>
    </xdr:to>
    <xdr:sp macro="" textlink="">
      <xdr:nvSpPr>
        <xdr:cNvPr id="56" name="Line 142">
          <a:extLst>
            <a:ext uri="{FF2B5EF4-FFF2-40B4-BE49-F238E27FC236}">
              <a16:creationId xmlns:a16="http://schemas.microsoft.com/office/drawing/2014/main" id="{ED71495B-412B-4F58-AAA1-287D02ADE623}"/>
            </a:ext>
          </a:extLst>
        </xdr:cNvPr>
        <xdr:cNvSpPr>
          <a:spLocks noChangeShapeType="1"/>
        </xdr:cNvSpPr>
      </xdr:nvSpPr>
      <xdr:spPr bwMode="auto">
        <a:xfrm>
          <a:off x="14394180" y="2400300"/>
          <a:ext cx="0" cy="434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213360</xdr:colOff>
      <xdr:row>7</xdr:row>
      <xdr:rowOff>15240</xdr:rowOff>
    </xdr:from>
    <xdr:to>
      <xdr:col>9</xdr:col>
      <xdr:colOff>502920</xdr:colOff>
      <xdr:row>7</xdr:row>
      <xdr:rowOff>297180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86140AA2-DED2-4B68-A0AA-BFEFDA5F1326}"/>
            </a:ext>
          </a:extLst>
        </xdr:cNvPr>
        <xdr:cNvSpPr/>
      </xdr:nvSpPr>
      <xdr:spPr>
        <a:xfrm>
          <a:off x="1333500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106680</xdr:colOff>
      <xdr:row>8</xdr:row>
      <xdr:rowOff>304800</xdr:rowOff>
    </xdr:from>
    <xdr:to>
      <xdr:col>10</xdr:col>
      <xdr:colOff>1127760</xdr:colOff>
      <xdr:row>9</xdr:row>
      <xdr:rowOff>7620</xdr:rowOff>
    </xdr:to>
    <xdr:sp macro="" textlink="">
      <xdr:nvSpPr>
        <xdr:cNvPr id="58" name="Line 135">
          <a:extLst>
            <a:ext uri="{FF2B5EF4-FFF2-40B4-BE49-F238E27FC236}">
              <a16:creationId xmlns:a16="http://schemas.microsoft.com/office/drawing/2014/main" id="{12645CA0-D470-42CB-8018-8B87CA433879}"/>
            </a:ext>
          </a:extLst>
        </xdr:cNvPr>
        <xdr:cNvSpPr>
          <a:spLocks noChangeShapeType="1"/>
        </xdr:cNvSpPr>
      </xdr:nvSpPr>
      <xdr:spPr bwMode="auto">
        <a:xfrm>
          <a:off x="13228320" y="310134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9</xdr:row>
      <xdr:rowOff>0</xdr:rowOff>
    </xdr:from>
    <xdr:to>
      <xdr:col>10</xdr:col>
      <xdr:colOff>7620</xdr:colOff>
      <xdr:row>10</xdr:row>
      <xdr:rowOff>68580</xdr:rowOff>
    </xdr:to>
    <xdr:sp macro="" textlink="">
      <xdr:nvSpPr>
        <xdr:cNvPr id="59" name="Line 142">
          <a:extLst>
            <a:ext uri="{FF2B5EF4-FFF2-40B4-BE49-F238E27FC236}">
              <a16:creationId xmlns:a16="http://schemas.microsoft.com/office/drawing/2014/main" id="{4CBE0296-3C08-4EBD-B5C2-84684869B150}"/>
            </a:ext>
          </a:extLst>
        </xdr:cNvPr>
        <xdr:cNvSpPr>
          <a:spLocks noChangeShapeType="1"/>
        </xdr:cNvSpPr>
      </xdr:nvSpPr>
      <xdr:spPr bwMode="auto">
        <a:xfrm>
          <a:off x="14394180" y="310896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236220</xdr:colOff>
      <xdr:row>9</xdr:row>
      <xdr:rowOff>22860</xdr:rowOff>
    </xdr:from>
    <xdr:to>
      <xdr:col>9</xdr:col>
      <xdr:colOff>525780</xdr:colOff>
      <xdr:row>9</xdr:row>
      <xdr:rowOff>304800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E2471917-89BB-4BFF-A28C-A3C2CC2529A5}"/>
            </a:ext>
          </a:extLst>
        </xdr:cNvPr>
        <xdr:cNvSpPr/>
      </xdr:nvSpPr>
      <xdr:spPr>
        <a:xfrm>
          <a:off x="13357860" y="31318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8</xdr:col>
      <xdr:colOff>0</xdr:colOff>
      <xdr:row>5</xdr:row>
      <xdr:rowOff>7620</xdr:rowOff>
    </xdr:from>
    <xdr:to>
      <xdr:col>8</xdr:col>
      <xdr:colOff>0</xdr:colOff>
      <xdr:row>6</xdr:row>
      <xdr:rowOff>22860</xdr:rowOff>
    </xdr:to>
    <xdr:sp macro="" textlink="">
      <xdr:nvSpPr>
        <xdr:cNvPr id="61" name="Line 70">
          <a:extLst>
            <a:ext uri="{FF2B5EF4-FFF2-40B4-BE49-F238E27FC236}">
              <a16:creationId xmlns:a16="http://schemas.microsoft.com/office/drawing/2014/main" id="{B12C0209-79D9-4980-AD8E-209F6A969E20}"/>
            </a:ext>
          </a:extLst>
        </xdr:cNvPr>
        <xdr:cNvSpPr>
          <a:spLocks noChangeShapeType="1"/>
        </xdr:cNvSpPr>
      </xdr:nvSpPr>
      <xdr:spPr bwMode="auto">
        <a:xfrm>
          <a:off x="11658600" y="1638300"/>
          <a:ext cx="0" cy="426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160020</xdr:colOff>
      <xdr:row>4</xdr:row>
      <xdr:rowOff>289560</xdr:rowOff>
    </xdr:from>
    <xdr:to>
      <xdr:col>8</xdr:col>
      <xdr:colOff>1287780</xdr:colOff>
      <xdr:row>4</xdr:row>
      <xdr:rowOff>289560</xdr:rowOff>
    </xdr:to>
    <xdr:sp macro="" textlink="">
      <xdr:nvSpPr>
        <xdr:cNvPr id="62" name="Line 125">
          <a:extLst>
            <a:ext uri="{FF2B5EF4-FFF2-40B4-BE49-F238E27FC236}">
              <a16:creationId xmlns:a16="http://schemas.microsoft.com/office/drawing/2014/main" id="{6460A3E6-27C1-4604-B5AB-C4DF674C8348}"/>
            </a:ext>
          </a:extLst>
        </xdr:cNvPr>
        <xdr:cNvSpPr>
          <a:spLocks noChangeShapeType="1"/>
        </xdr:cNvSpPr>
      </xdr:nvSpPr>
      <xdr:spPr bwMode="auto">
        <a:xfrm>
          <a:off x="10500360" y="16154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</xdr:row>
      <xdr:rowOff>15240</xdr:rowOff>
    </xdr:from>
    <xdr:to>
      <xdr:col>8</xdr:col>
      <xdr:colOff>7620</xdr:colOff>
      <xdr:row>8</xdr:row>
      <xdr:rowOff>22860</xdr:rowOff>
    </xdr:to>
    <xdr:sp macro="" textlink="">
      <xdr:nvSpPr>
        <xdr:cNvPr id="63" name="Line 70">
          <a:extLst>
            <a:ext uri="{FF2B5EF4-FFF2-40B4-BE49-F238E27FC236}">
              <a16:creationId xmlns:a16="http://schemas.microsoft.com/office/drawing/2014/main" id="{337594B9-4C45-4910-AA5D-780BA31DF654}"/>
            </a:ext>
          </a:extLst>
        </xdr:cNvPr>
        <xdr:cNvSpPr>
          <a:spLocks noChangeShapeType="1"/>
        </xdr:cNvSpPr>
      </xdr:nvSpPr>
      <xdr:spPr bwMode="auto">
        <a:xfrm>
          <a:off x="11658600" y="243078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160020</xdr:colOff>
      <xdr:row>6</xdr:row>
      <xdr:rowOff>365760</xdr:rowOff>
    </xdr:from>
    <xdr:to>
      <xdr:col>8</xdr:col>
      <xdr:colOff>1287780</xdr:colOff>
      <xdr:row>6</xdr:row>
      <xdr:rowOff>365760</xdr:rowOff>
    </xdr:to>
    <xdr:sp macro="" textlink="">
      <xdr:nvSpPr>
        <xdr:cNvPr id="64" name="Line 125">
          <a:extLst>
            <a:ext uri="{FF2B5EF4-FFF2-40B4-BE49-F238E27FC236}">
              <a16:creationId xmlns:a16="http://schemas.microsoft.com/office/drawing/2014/main" id="{2931DBB0-3427-4606-914D-8F087D1B68EA}"/>
            </a:ext>
          </a:extLst>
        </xdr:cNvPr>
        <xdr:cNvSpPr>
          <a:spLocks noChangeShapeType="1"/>
        </xdr:cNvSpPr>
      </xdr:nvSpPr>
      <xdr:spPr bwMode="auto">
        <a:xfrm>
          <a:off x="10500360" y="24079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</xdr:row>
      <xdr:rowOff>15240</xdr:rowOff>
    </xdr:from>
    <xdr:to>
      <xdr:col>8</xdr:col>
      <xdr:colOff>7620</xdr:colOff>
      <xdr:row>10</xdr:row>
      <xdr:rowOff>53340</xdr:rowOff>
    </xdr:to>
    <xdr:sp macro="" textlink="">
      <xdr:nvSpPr>
        <xdr:cNvPr id="65" name="Line 70">
          <a:extLst>
            <a:ext uri="{FF2B5EF4-FFF2-40B4-BE49-F238E27FC236}">
              <a16:creationId xmlns:a16="http://schemas.microsoft.com/office/drawing/2014/main" id="{58542080-F643-41C9-90EF-177606B531C2}"/>
            </a:ext>
          </a:extLst>
        </xdr:cNvPr>
        <xdr:cNvSpPr>
          <a:spLocks noChangeShapeType="1"/>
        </xdr:cNvSpPr>
      </xdr:nvSpPr>
      <xdr:spPr bwMode="auto">
        <a:xfrm>
          <a:off x="11658600" y="312420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9</xdr:row>
      <xdr:rowOff>22860</xdr:rowOff>
    </xdr:from>
    <xdr:to>
      <xdr:col>8</xdr:col>
      <xdr:colOff>1280160</xdr:colOff>
      <xdr:row>9</xdr:row>
      <xdr:rowOff>22860</xdr:rowOff>
    </xdr:to>
    <xdr:sp macro="" textlink="">
      <xdr:nvSpPr>
        <xdr:cNvPr id="66" name="Line 125">
          <a:extLst>
            <a:ext uri="{FF2B5EF4-FFF2-40B4-BE49-F238E27FC236}">
              <a16:creationId xmlns:a16="http://schemas.microsoft.com/office/drawing/2014/main" id="{CC6B5E54-FA5E-45C5-BAB1-C7584CD1DA5B}"/>
            </a:ext>
          </a:extLst>
        </xdr:cNvPr>
        <xdr:cNvSpPr>
          <a:spLocks noChangeShapeType="1"/>
        </xdr:cNvSpPr>
      </xdr:nvSpPr>
      <xdr:spPr bwMode="auto">
        <a:xfrm>
          <a:off x="10492740" y="31318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800100</xdr:colOff>
      <xdr:row>5</xdr:row>
      <xdr:rowOff>22860</xdr:rowOff>
    </xdr:from>
    <xdr:to>
      <xdr:col>8</xdr:col>
      <xdr:colOff>1089660</xdr:colOff>
      <xdr:row>5</xdr:row>
      <xdr:rowOff>304800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AB213C91-2873-401C-92BF-15C8E366259B}"/>
            </a:ext>
          </a:extLst>
        </xdr:cNvPr>
        <xdr:cNvSpPr/>
      </xdr:nvSpPr>
      <xdr:spPr>
        <a:xfrm>
          <a:off x="1245870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800100</xdr:colOff>
      <xdr:row>3</xdr:row>
      <xdr:rowOff>358140</xdr:rowOff>
    </xdr:from>
    <xdr:to>
      <xdr:col>4</xdr:col>
      <xdr:colOff>1127760</xdr:colOff>
      <xdr:row>4</xdr:row>
      <xdr:rowOff>274320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8271FD9B-0AA3-4B1F-ACFD-22C3063BCE51}"/>
            </a:ext>
          </a:extLst>
        </xdr:cNvPr>
        <xdr:cNvSpPr/>
      </xdr:nvSpPr>
      <xdr:spPr>
        <a:xfrm>
          <a:off x="7322820" y="1295400"/>
          <a:ext cx="327660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99060</xdr:colOff>
      <xdr:row>10</xdr:row>
      <xdr:rowOff>312420</xdr:rowOff>
    </xdr:from>
    <xdr:to>
      <xdr:col>10</xdr:col>
      <xdr:colOff>1120140</xdr:colOff>
      <xdr:row>10</xdr:row>
      <xdr:rowOff>327660</xdr:rowOff>
    </xdr:to>
    <xdr:sp macro="" textlink="">
      <xdr:nvSpPr>
        <xdr:cNvPr id="69" name="Line 135">
          <a:extLst>
            <a:ext uri="{FF2B5EF4-FFF2-40B4-BE49-F238E27FC236}">
              <a16:creationId xmlns:a16="http://schemas.microsoft.com/office/drawing/2014/main" id="{172FF97E-3A90-44D2-9DEE-474FDDE3E751}"/>
            </a:ext>
          </a:extLst>
        </xdr:cNvPr>
        <xdr:cNvSpPr>
          <a:spLocks noChangeShapeType="1"/>
        </xdr:cNvSpPr>
      </xdr:nvSpPr>
      <xdr:spPr bwMode="auto">
        <a:xfrm>
          <a:off x="13220700" y="377190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10</xdr:row>
      <xdr:rowOff>320040</xdr:rowOff>
    </xdr:from>
    <xdr:to>
      <xdr:col>10</xdr:col>
      <xdr:colOff>0</xdr:colOff>
      <xdr:row>12</xdr:row>
      <xdr:rowOff>45720</xdr:rowOff>
    </xdr:to>
    <xdr:sp macro="" textlink="">
      <xdr:nvSpPr>
        <xdr:cNvPr id="70" name="Line 142">
          <a:extLst>
            <a:ext uri="{FF2B5EF4-FFF2-40B4-BE49-F238E27FC236}">
              <a16:creationId xmlns:a16="http://schemas.microsoft.com/office/drawing/2014/main" id="{34D0BA57-09E1-4FA5-A90C-D780B35906E1}"/>
            </a:ext>
          </a:extLst>
        </xdr:cNvPr>
        <xdr:cNvSpPr>
          <a:spLocks noChangeShapeType="1"/>
        </xdr:cNvSpPr>
      </xdr:nvSpPr>
      <xdr:spPr bwMode="auto">
        <a:xfrm>
          <a:off x="14386560" y="377952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800100</xdr:colOff>
      <xdr:row>9</xdr:row>
      <xdr:rowOff>22860</xdr:rowOff>
    </xdr:from>
    <xdr:to>
      <xdr:col>8</xdr:col>
      <xdr:colOff>1089660</xdr:colOff>
      <xdr:row>9</xdr:row>
      <xdr:rowOff>304800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3FFF9E72-9392-440F-9717-D00F9EC21FAC}"/>
            </a:ext>
          </a:extLst>
        </xdr:cNvPr>
        <xdr:cNvSpPr/>
      </xdr:nvSpPr>
      <xdr:spPr>
        <a:xfrm>
          <a:off x="12458700" y="31318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</xdr:col>
      <xdr:colOff>144780</xdr:colOff>
      <xdr:row>4</xdr:row>
      <xdr:rowOff>22860</xdr:rowOff>
    </xdr:from>
    <xdr:to>
      <xdr:col>3</xdr:col>
      <xdr:colOff>434340</xdr:colOff>
      <xdr:row>4</xdr:row>
      <xdr:rowOff>289560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4B697870-B0A1-42FD-B787-1D8591E8E124}"/>
            </a:ext>
          </a:extLst>
        </xdr:cNvPr>
        <xdr:cNvSpPr/>
      </xdr:nvSpPr>
      <xdr:spPr>
        <a:xfrm>
          <a:off x="5364480" y="134874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800100</xdr:colOff>
      <xdr:row>7</xdr:row>
      <xdr:rowOff>7620</xdr:rowOff>
    </xdr:from>
    <xdr:to>
      <xdr:col>8</xdr:col>
      <xdr:colOff>1089660</xdr:colOff>
      <xdr:row>7</xdr:row>
      <xdr:rowOff>289560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1CC8FC72-B804-4E17-B036-C77060F017DB}"/>
            </a:ext>
          </a:extLst>
        </xdr:cNvPr>
        <xdr:cNvSpPr/>
      </xdr:nvSpPr>
      <xdr:spPr>
        <a:xfrm>
          <a:off x="12458700" y="242316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7620</xdr:colOff>
      <xdr:row>7</xdr:row>
      <xdr:rowOff>22860</xdr:rowOff>
    </xdr:from>
    <xdr:to>
      <xdr:col>8</xdr:col>
      <xdr:colOff>7620</xdr:colOff>
      <xdr:row>7</xdr:row>
      <xdr:rowOff>373380</xdr:rowOff>
    </xdr:to>
    <xdr:sp macro="" textlink="">
      <xdr:nvSpPr>
        <xdr:cNvPr id="74" name="Line 70">
          <a:extLst>
            <a:ext uri="{FF2B5EF4-FFF2-40B4-BE49-F238E27FC236}">
              <a16:creationId xmlns:a16="http://schemas.microsoft.com/office/drawing/2014/main" id="{E3FEBC6F-C01E-4BD3-943A-7C081985A829}"/>
            </a:ext>
          </a:extLst>
        </xdr:cNvPr>
        <xdr:cNvSpPr>
          <a:spLocks noChangeShapeType="1"/>
        </xdr:cNvSpPr>
      </xdr:nvSpPr>
      <xdr:spPr bwMode="auto">
        <a:xfrm flipH="1">
          <a:off x="11666220" y="243840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266700</xdr:colOff>
      <xdr:row>7</xdr:row>
      <xdr:rowOff>15240</xdr:rowOff>
    </xdr:from>
    <xdr:to>
      <xdr:col>7</xdr:col>
      <xdr:colOff>556260</xdr:colOff>
      <xdr:row>7</xdr:row>
      <xdr:rowOff>297180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487E476E-A005-4163-BA3E-EB7AF75DC91B}"/>
            </a:ext>
          </a:extLst>
        </xdr:cNvPr>
        <xdr:cNvSpPr/>
      </xdr:nvSpPr>
      <xdr:spPr>
        <a:xfrm>
          <a:off x="1060704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800100</xdr:colOff>
      <xdr:row>5</xdr:row>
      <xdr:rowOff>7620</xdr:rowOff>
    </xdr:from>
    <xdr:to>
      <xdr:col>4</xdr:col>
      <xdr:colOff>1143000</xdr:colOff>
      <xdr:row>5</xdr:row>
      <xdr:rowOff>320040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4A078AD1-98E1-4AE9-B3F7-2188746245C8}"/>
            </a:ext>
          </a:extLst>
        </xdr:cNvPr>
        <xdr:cNvSpPr/>
      </xdr:nvSpPr>
      <xdr:spPr>
        <a:xfrm>
          <a:off x="7322820" y="1638300"/>
          <a:ext cx="342900" cy="31242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236220</xdr:colOff>
      <xdr:row>11</xdr:row>
      <xdr:rowOff>22860</xdr:rowOff>
    </xdr:from>
    <xdr:to>
      <xdr:col>9</xdr:col>
      <xdr:colOff>525780</xdr:colOff>
      <xdr:row>11</xdr:row>
      <xdr:rowOff>304800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5A862E30-5E92-46A4-99BB-C39644C20296}"/>
            </a:ext>
          </a:extLst>
        </xdr:cNvPr>
        <xdr:cNvSpPr/>
      </xdr:nvSpPr>
      <xdr:spPr>
        <a:xfrm>
          <a:off x="13357860" y="38176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106680</xdr:colOff>
      <xdr:row>12</xdr:row>
      <xdr:rowOff>327660</xdr:rowOff>
    </xdr:from>
    <xdr:to>
      <xdr:col>10</xdr:col>
      <xdr:colOff>1127760</xdr:colOff>
      <xdr:row>13</xdr:row>
      <xdr:rowOff>0</xdr:rowOff>
    </xdr:to>
    <xdr:sp macro="" textlink="">
      <xdr:nvSpPr>
        <xdr:cNvPr id="78" name="Line 135">
          <a:extLst>
            <a:ext uri="{FF2B5EF4-FFF2-40B4-BE49-F238E27FC236}">
              <a16:creationId xmlns:a16="http://schemas.microsoft.com/office/drawing/2014/main" id="{C8CDEDDA-20AA-42D6-AC9B-D3337845CAD3}"/>
            </a:ext>
          </a:extLst>
        </xdr:cNvPr>
        <xdr:cNvSpPr>
          <a:spLocks noChangeShapeType="1"/>
        </xdr:cNvSpPr>
      </xdr:nvSpPr>
      <xdr:spPr bwMode="auto">
        <a:xfrm>
          <a:off x="13228320" y="448056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12</xdr:row>
      <xdr:rowOff>335280</xdr:rowOff>
    </xdr:from>
    <xdr:to>
      <xdr:col>10</xdr:col>
      <xdr:colOff>7620</xdr:colOff>
      <xdr:row>14</xdr:row>
      <xdr:rowOff>45720</xdr:rowOff>
    </xdr:to>
    <xdr:sp macro="" textlink="">
      <xdr:nvSpPr>
        <xdr:cNvPr id="79" name="Line 142">
          <a:extLst>
            <a:ext uri="{FF2B5EF4-FFF2-40B4-BE49-F238E27FC236}">
              <a16:creationId xmlns:a16="http://schemas.microsoft.com/office/drawing/2014/main" id="{94393289-E717-4D4B-86AA-AA59D4A0CFF1}"/>
            </a:ext>
          </a:extLst>
        </xdr:cNvPr>
        <xdr:cNvSpPr>
          <a:spLocks noChangeShapeType="1"/>
        </xdr:cNvSpPr>
      </xdr:nvSpPr>
      <xdr:spPr bwMode="auto">
        <a:xfrm flipH="1">
          <a:off x="14394180" y="4488180"/>
          <a:ext cx="0" cy="449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144780</xdr:colOff>
      <xdr:row>8</xdr:row>
      <xdr:rowOff>304800</xdr:rowOff>
    </xdr:from>
    <xdr:to>
      <xdr:col>6</xdr:col>
      <xdr:colOff>1104900</xdr:colOff>
      <xdr:row>8</xdr:row>
      <xdr:rowOff>304800</xdr:rowOff>
    </xdr:to>
    <xdr:sp macro="" textlink="">
      <xdr:nvSpPr>
        <xdr:cNvPr id="80" name="Line 97">
          <a:extLst>
            <a:ext uri="{FF2B5EF4-FFF2-40B4-BE49-F238E27FC236}">
              <a16:creationId xmlns:a16="http://schemas.microsoft.com/office/drawing/2014/main" id="{E80A8C5F-2740-46FE-898B-179E9934598E}"/>
            </a:ext>
          </a:extLst>
        </xdr:cNvPr>
        <xdr:cNvSpPr>
          <a:spLocks noChangeShapeType="1"/>
        </xdr:cNvSpPr>
      </xdr:nvSpPr>
      <xdr:spPr bwMode="auto">
        <a:xfrm flipV="1">
          <a:off x="8069580" y="3101340"/>
          <a:ext cx="2125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8</xdr:row>
      <xdr:rowOff>304800</xdr:rowOff>
    </xdr:from>
    <xdr:to>
      <xdr:col>6</xdr:col>
      <xdr:colOff>7620</xdr:colOff>
      <xdr:row>10</xdr:row>
      <xdr:rowOff>53340</xdr:rowOff>
    </xdr:to>
    <xdr:sp macro="" textlink="">
      <xdr:nvSpPr>
        <xdr:cNvPr id="81" name="Line 98">
          <a:extLst>
            <a:ext uri="{FF2B5EF4-FFF2-40B4-BE49-F238E27FC236}">
              <a16:creationId xmlns:a16="http://schemas.microsoft.com/office/drawing/2014/main" id="{13F9A269-10F7-4044-81E0-43147DDBAF0C}"/>
            </a:ext>
          </a:extLst>
        </xdr:cNvPr>
        <xdr:cNvSpPr>
          <a:spLocks noChangeShapeType="1"/>
        </xdr:cNvSpPr>
      </xdr:nvSpPr>
      <xdr:spPr bwMode="auto">
        <a:xfrm>
          <a:off x="9098280" y="310134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137160</xdr:colOff>
      <xdr:row>11</xdr:row>
      <xdr:rowOff>0</xdr:rowOff>
    </xdr:from>
    <xdr:to>
      <xdr:col>6</xdr:col>
      <xdr:colOff>1097280</xdr:colOff>
      <xdr:row>11</xdr:row>
      <xdr:rowOff>0</xdr:rowOff>
    </xdr:to>
    <xdr:sp macro="" textlink="">
      <xdr:nvSpPr>
        <xdr:cNvPr id="82" name="Line 97">
          <a:extLst>
            <a:ext uri="{FF2B5EF4-FFF2-40B4-BE49-F238E27FC236}">
              <a16:creationId xmlns:a16="http://schemas.microsoft.com/office/drawing/2014/main" id="{27E58EB7-986D-42C7-9944-E3506F1BE9ED}"/>
            </a:ext>
          </a:extLst>
        </xdr:cNvPr>
        <xdr:cNvSpPr>
          <a:spLocks noChangeShapeType="1"/>
        </xdr:cNvSpPr>
      </xdr:nvSpPr>
      <xdr:spPr bwMode="auto">
        <a:xfrm flipV="1">
          <a:off x="8061960" y="3794760"/>
          <a:ext cx="2125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12</xdr:row>
      <xdr:rowOff>53340</xdr:rowOff>
    </xdr:to>
    <xdr:sp macro="" textlink="">
      <xdr:nvSpPr>
        <xdr:cNvPr id="83" name="Line 98">
          <a:extLst>
            <a:ext uri="{FF2B5EF4-FFF2-40B4-BE49-F238E27FC236}">
              <a16:creationId xmlns:a16="http://schemas.microsoft.com/office/drawing/2014/main" id="{56AEB0CB-C869-4BC0-8F5F-84AB5321E98D}"/>
            </a:ext>
          </a:extLst>
        </xdr:cNvPr>
        <xdr:cNvSpPr>
          <a:spLocks noChangeShapeType="1"/>
        </xdr:cNvSpPr>
      </xdr:nvSpPr>
      <xdr:spPr bwMode="auto">
        <a:xfrm>
          <a:off x="9090660" y="379476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15</xdr:row>
      <xdr:rowOff>7620</xdr:rowOff>
    </xdr:from>
    <xdr:to>
      <xdr:col>10</xdr:col>
      <xdr:colOff>1127760</xdr:colOff>
      <xdr:row>15</xdr:row>
      <xdr:rowOff>22860</xdr:rowOff>
    </xdr:to>
    <xdr:sp macro="" textlink="">
      <xdr:nvSpPr>
        <xdr:cNvPr id="84" name="Line 135">
          <a:extLst>
            <a:ext uri="{FF2B5EF4-FFF2-40B4-BE49-F238E27FC236}">
              <a16:creationId xmlns:a16="http://schemas.microsoft.com/office/drawing/2014/main" id="{FC471FB5-8DF4-4FF8-9FA4-9781225EA139}"/>
            </a:ext>
          </a:extLst>
        </xdr:cNvPr>
        <xdr:cNvSpPr>
          <a:spLocks noChangeShapeType="1"/>
        </xdr:cNvSpPr>
      </xdr:nvSpPr>
      <xdr:spPr bwMode="auto">
        <a:xfrm>
          <a:off x="13228320" y="522732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15</xdr:row>
      <xdr:rowOff>15240</xdr:rowOff>
    </xdr:from>
    <xdr:to>
      <xdr:col>10</xdr:col>
      <xdr:colOff>7620</xdr:colOff>
      <xdr:row>16</xdr:row>
      <xdr:rowOff>106680</xdr:rowOff>
    </xdr:to>
    <xdr:sp macro="" textlink="">
      <xdr:nvSpPr>
        <xdr:cNvPr id="85" name="Line 142">
          <a:extLst>
            <a:ext uri="{FF2B5EF4-FFF2-40B4-BE49-F238E27FC236}">
              <a16:creationId xmlns:a16="http://schemas.microsoft.com/office/drawing/2014/main" id="{0A1BB785-48D8-490D-BAEE-B0CD1B80ECFB}"/>
            </a:ext>
          </a:extLst>
        </xdr:cNvPr>
        <xdr:cNvSpPr>
          <a:spLocks noChangeShapeType="1"/>
        </xdr:cNvSpPr>
      </xdr:nvSpPr>
      <xdr:spPr bwMode="auto">
        <a:xfrm>
          <a:off x="14394180" y="523494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243840</xdr:colOff>
      <xdr:row>15</xdr:row>
      <xdr:rowOff>45720</xdr:rowOff>
    </xdr:from>
    <xdr:to>
      <xdr:col>9</xdr:col>
      <xdr:colOff>533400</xdr:colOff>
      <xdr:row>16</xdr:row>
      <xdr:rowOff>0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F4B0FC3F-DE47-4596-897B-565897D5BE56}"/>
            </a:ext>
          </a:extLst>
        </xdr:cNvPr>
        <xdr:cNvSpPr/>
      </xdr:nvSpPr>
      <xdr:spPr>
        <a:xfrm>
          <a:off x="13365480" y="52654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15240</xdr:colOff>
      <xdr:row>13</xdr:row>
      <xdr:rowOff>0</xdr:rowOff>
    </xdr:from>
    <xdr:to>
      <xdr:col>8</xdr:col>
      <xdr:colOff>15240</xdr:colOff>
      <xdr:row>14</xdr:row>
      <xdr:rowOff>7620</xdr:rowOff>
    </xdr:to>
    <xdr:sp macro="" textlink="">
      <xdr:nvSpPr>
        <xdr:cNvPr id="87" name="Line 70">
          <a:extLst>
            <a:ext uri="{FF2B5EF4-FFF2-40B4-BE49-F238E27FC236}">
              <a16:creationId xmlns:a16="http://schemas.microsoft.com/office/drawing/2014/main" id="{C7DC8751-CFAB-4CCA-B002-822A3AE6AA4D}"/>
            </a:ext>
          </a:extLst>
        </xdr:cNvPr>
        <xdr:cNvSpPr>
          <a:spLocks noChangeShapeType="1"/>
        </xdr:cNvSpPr>
      </xdr:nvSpPr>
      <xdr:spPr bwMode="auto">
        <a:xfrm>
          <a:off x="11673840" y="4495800"/>
          <a:ext cx="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167640</xdr:colOff>
      <xdr:row>13</xdr:row>
      <xdr:rowOff>7620</xdr:rowOff>
    </xdr:from>
    <xdr:to>
      <xdr:col>8</xdr:col>
      <xdr:colOff>1295400</xdr:colOff>
      <xdr:row>13</xdr:row>
      <xdr:rowOff>7620</xdr:rowOff>
    </xdr:to>
    <xdr:sp macro="" textlink="">
      <xdr:nvSpPr>
        <xdr:cNvPr id="88" name="Line 125">
          <a:extLst>
            <a:ext uri="{FF2B5EF4-FFF2-40B4-BE49-F238E27FC236}">
              <a16:creationId xmlns:a16="http://schemas.microsoft.com/office/drawing/2014/main" id="{F41D93CC-2182-47EE-8181-4CB3396193A3}"/>
            </a:ext>
          </a:extLst>
        </xdr:cNvPr>
        <xdr:cNvSpPr>
          <a:spLocks noChangeShapeType="1"/>
        </xdr:cNvSpPr>
      </xdr:nvSpPr>
      <xdr:spPr bwMode="auto">
        <a:xfrm>
          <a:off x="10507980" y="45034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14</xdr:row>
      <xdr:rowOff>91440</xdr:rowOff>
    </xdr:from>
    <xdr:to>
      <xdr:col>10</xdr:col>
      <xdr:colOff>762000</xdr:colOff>
      <xdr:row>15</xdr:row>
      <xdr:rowOff>38100</xdr:rowOff>
    </xdr:to>
    <xdr:sp macro="" textlink="">
      <xdr:nvSpPr>
        <xdr:cNvPr id="2" name="Text Box 140">
          <a:extLst>
            <a:ext uri="{FF2B5EF4-FFF2-40B4-BE49-F238E27FC236}">
              <a16:creationId xmlns:a16="http://schemas.microsoft.com/office/drawing/2014/main" id="{93C4010E-A447-477A-AB4B-E41AE6A606D1}"/>
            </a:ext>
          </a:extLst>
        </xdr:cNvPr>
        <xdr:cNvSpPr txBox="1">
          <a:spLocks noChangeArrowheads="1"/>
        </xdr:cNvSpPr>
      </xdr:nvSpPr>
      <xdr:spPr bwMode="auto">
        <a:xfrm>
          <a:off x="13708380" y="4983480"/>
          <a:ext cx="144018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financeiras</a:t>
          </a:r>
        </a:p>
      </xdr:txBody>
    </xdr:sp>
    <xdr:clientData/>
  </xdr:twoCellAnchor>
  <xdr:twoCellAnchor>
    <xdr:from>
      <xdr:col>5</xdr:col>
      <xdr:colOff>525780</xdr:colOff>
      <xdr:row>10</xdr:row>
      <xdr:rowOff>68580</xdr:rowOff>
    </xdr:from>
    <xdr:to>
      <xdr:col>6</xdr:col>
      <xdr:colOff>800100</xdr:colOff>
      <xdr:row>11</xdr:row>
      <xdr:rowOff>11589</xdr:rowOff>
    </xdr:to>
    <xdr:sp macro="" textlink="">
      <xdr:nvSpPr>
        <xdr:cNvPr id="3" name="Text Box 99">
          <a:extLst>
            <a:ext uri="{FF2B5EF4-FFF2-40B4-BE49-F238E27FC236}">
              <a16:creationId xmlns:a16="http://schemas.microsoft.com/office/drawing/2014/main" id="{4D7F4DB0-48B9-4BD1-A59D-337568700D4E}"/>
            </a:ext>
          </a:extLst>
        </xdr:cNvPr>
        <xdr:cNvSpPr txBox="1">
          <a:spLocks noChangeArrowheads="1"/>
        </xdr:cNvSpPr>
      </xdr:nvSpPr>
      <xdr:spPr bwMode="auto">
        <a:xfrm>
          <a:off x="8450580" y="3528060"/>
          <a:ext cx="1440180" cy="2782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Depreciação Acumulada</a:t>
          </a:r>
        </a:p>
      </xdr:txBody>
    </xdr:sp>
    <xdr:clientData/>
  </xdr:twoCellAnchor>
  <xdr:twoCellAnchor>
    <xdr:from>
      <xdr:col>9</xdr:col>
      <xdr:colOff>342900</xdr:colOff>
      <xdr:row>10</xdr:row>
      <xdr:rowOff>76200</xdr:rowOff>
    </xdr:from>
    <xdr:to>
      <xdr:col>10</xdr:col>
      <xdr:colOff>1049656</xdr:colOff>
      <xdr:row>10</xdr:row>
      <xdr:rowOff>327660</xdr:rowOff>
    </xdr:to>
    <xdr:sp macro="" textlink="">
      <xdr:nvSpPr>
        <xdr:cNvPr id="4" name="Text Box 106">
          <a:extLst>
            <a:ext uri="{FF2B5EF4-FFF2-40B4-BE49-F238E27FC236}">
              <a16:creationId xmlns:a16="http://schemas.microsoft.com/office/drawing/2014/main" id="{B52A275D-C5AF-4021-9B9A-1E3BD5063FCC}"/>
            </a:ext>
          </a:extLst>
        </xdr:cNvPr>
        <xdr:cNvSpPr txBox="1">
          <a:spLocks noChangeArrowheads="1"/>
        </xdr:cNvSpPr>
      </xdr:nvSpPr>
      <xdr:spPr bwMode="auto">
        <a:xfrm>
          <a:off x="13464540" y="3535680"/>
          <a:ext cx="1971676" cy="251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Administrativas</a:t>
          </a:r>
        </a:p>
      </xdr:txBody>
    </xdr:sp>
    <xdr:clientData/>
  </xdr:twoCellAnchor>
  <xdr:twoCellAnchor>
    <xdr:from>
      <xdr:col>9</xdr:col>
      <xdr:colOff>481965</xdr:colOff>
      <xdr:row>2</xdr:row>
      <xdr:rowOff>116205</xdr:rowOff>
    </xdr:from>
    <xdr:to>
      <xdr:col>10</xdr:col>
      <xdr:colOff>609600</xdr:colOff>
      <xdr:row>2</xdr:row>
      <xdr:rowOff>335280</xdr:rowOff>
    </xdr:to>
    <xdr:sp macro="" textlink="">
      <xdr:nvSpPr>
        <xdr:cNvPr id="5" name="Text Box 100">
          <a:extLst>
            <a:ext uri="{FF2B5EF4-FFF2-40B4-BE49-F238E27FC236}">
              <a16:creationId xmlns:a16="http://schemas.microsoft.com/office/drawing/2014/main" id="{8E21EFF1-43A8-45DF-9D32-EA3E501784EA}"/>
            </a:ext>
          </a:extLst>
        </xdr:cNvPr>
        <xdr:cNvSpPr txBox="1">
          <a:spLocks noChangeArrowheads="1"/>
        </xdr:cNvSpPr>
      </xdr:nvSpPr>
      <xdr:spPr bwMode="auto">
        <a:xfrm>
          <a:off x="13603605" y="672465"/>
          <a:ext cx="139255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Receita (Vendas)         </a:t>
          </a:r>
        </a:p>
      </xdr:txBody>
    </xdr:sp>
    <xdr:clientData/>
  </xdr:twoCellAnchor>
  <xdr:twoCellAnchor>
    <xdr:from>
      <xdr:col>9</xdr:col>
      <xdr:colOff>821055</xdr:colOff>
      <xdr:row>6</xdr:row>
      <xdr:rowOff>19051</xdr:rowOff>
    </xdr:from>
    <xdr:to>
      <xdr:col>10</xdr:col>
      <xdr:colOff>678180</xdr:colOff>
      <xdr:row>6</xdr:row>
      <xdr:rowOff>236221</xdr:rowOff>
    </xdr:to>
    <xdr:sp macro="" textlink="">
      <xdr:nvSpPr>
        <xdr:cNvPr id="6" name="Text Box 80">
          <a:extLst>
            <a:ext uri="{FF2B5EF4-FFF2-40B4-BE49-F238E27FC236}">
              <a16:creationId xmlns:a16="http://schemas.microsoft.com/office/drawing/2014/main" id="{1180F40A-571C-4D7B-8945-0E0ABD22B69D}"/>
            </a:ext>
          </a:extLst>
        </xdr:cNvPr>
        <xdr:cNvSpPr txBox="1">
          <a:spLocks noChangeArrowheads="1"/>
        </xdr:cNvSpPr>
      </xdr:nvSpPr>
      <xdr:spPr bwMode="auto">
        <a:xfrm>
          <a:off x="13942695" y="2061211"/>
          <a:ext cx="1122045" cy="2171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Custo do material</a:t>
          </a:r>
        </a:p>
      </xdr:txBody>
    </xdr:sp>
    <xdr:clientData/>
  </xdr:twoCellAnchor>
  <xdr:twoCellAnchor>
    <xdr:from>
      <xdr:col>9</xdr:col>
      <xdr:colOff>588644</xdr:colOff>
      <xdr:row>4</xdr:row>
      <xdr:rowOff>53341</xdr:rowOff>
    </xdr:from>
    <xdr:to>
      <xdr:col>10</xdr:col>
      <xdr:colOff>640079</xdr:colOff>
      <xdr:row>4</xdr:row>
      <xdr:rowOff>274321</xdr:rowOff>
    </xdr:to>
    <xdr:sp macro="" textlink="">
      <xdr:nvSpPr>
        <xdr:cNvPr id="7" name="Text Box 96">
          <a:extLst>
            <a:ext uri="{FF2B5EF4-FFF2-40B4-BE49-F238E27FC236}">
              <a16:creationId xmlns:a16="http://schemas.microsoft.com/office/drawing/2014/main" id="{1A57611C-7E44-434C-BEFC-703988BDABEE}"/>
            </a:ext>
          </a:extLst>
        </xdr:cNvPr>
        <xdr:cNvSpPr txBox="1">
          <a:spLocks noChangeArrowheads="1"/>
        </xdr:cNvSpPr>
      </xdr:nvSpPr>
      <xdr:spPr bwMode="auto">
        <a:xfrm>
          <a:off x="13710284" y="1379221"/>
          <a:ext cx="1316355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sobre vendas</a:t>
          </a:r>
        </a:p>
      </xdr:txBody>
    </xdr:sp>
    <xdr:clientData/>
  </xdr:twoCellAnchor>
  <xdr:twoCellAnchor>
    <xdr:from>
      <xdr:col>7</xdr:col>
      <xdr:colOff>382905</xdr:colOff>
      <xdr:row>2</xdr:row>
      <xdr:rowOff>108585</xdr:rowOff>
    </xdr:from>
    <xdr:to>
      <xdr:col>8</xdr:col>
      <xdr:colOff>876300</xdr:colOff>
      <xdr:row>2</xdr:row>
      <xdr:rowOff>365760</xdr:rowOff>
    </xdr:to>
    <xdr:sp macro="" textlink="">
      <xdr:nvSpPr>
        <xdr:cNvPr id="8" name="Text Box 74">
          <a:extLst>
            <a:ext uri="{FF2B5EF4-FFF2-40B4-BE49-F238E27FC236}">
              <a16:creationId xmlns:a16="http://schemas.microsoft.com/office/drawing/2014/main" id="{FD7B78EB-2198-4BBE-ADCA-EA5E100A0C11}"/>
            </a:ext>
          </a:extLst>
        </xdr:cNvPr>
        <xdr:cNvSpPr txBox="1">
          <a:spLocks noChangeArrowheads="1"/>
        </xdr:cNvSpPr>
      </xdr:nvSpPr>
      <xdr:spPr bwMode="auto">
        <a:xfrm>
          <a:off x="10723245" y="664845"/>
          <a:ext cx="181165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Fornecedores a pagar        </a:t>
          </a:r>
        </a:p>
      </xdr:txBody>
    </xdr:sp>
    <xdr:clientData/>
  </xdr:twoCellAnchor>
  <xdr:twoCellAnchor>
    <xdr:from>
      <xdr:col>0</xdr:col>
      <xdr:colOff>121920</xdr:colOff>
      <xdr:row>2</xdr:row>
      <xdr:rowOff>76200</xdr:rowOff>
    </xdr:from>
    <xdr:to>
      <xdr:col>0</xdr:col>
      <xdr:colOff>411480</xdr:colOff>
      <xdr:row>2</xdr:row>
      <xdr:rowOff>342900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626202C-441F-45FB-9891-A2DA677B54C0}"/>
            </a:ext>
          </a:extLst>
        </xdr:cNvPr>
        <xdr:cNvSpPr/>
      </xdr:nvSpPr>
      <xdr:spPr>
        <a:xfrm>
          <a:off x="121920" y="6324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0</xdr:col>
      <xdr:colOff>121920</xdr:colOff>
      <xdr:row>3</xdr:row>
      <xdr:rowOff>0</xdr:rowOff>
    </xdr:from>
    <xdr:to>
      <xdr:col>0</xdr:col>
      <xdr:colOff>411480</xdr:colOff>
      <xdr:row>3</xdr:row>
      <xdr:rowOff>266700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CE224BA4-B8D1-48C6-A11E-E5BA48F36C3D}"/>
            </a:ext>
          </a:extLst>
        </xdr:cNvPr>
        <xdr:cNvSpPr/>
      </xdr:nvSpPr>
      <xdr:spPr>
        <a:xfrm>
          <a:off x="121920" y="9372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0</xdr:col>
      <xdr:colOff>121920</xdr:colOff>
      <xdr:row>4</xdr:row>
      <xdr:rowOff>0</xdr:rowOff>
    </xdr:from>
    <xdr:to>
      <xdr:col>0</xdr:col>
      <xdr:colOff>411480</xdr:colOff>
      <xdr:row>4</xdr:row>
      <xdr:rowOff>266700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9CAA2FCC-6E94-47DE-8FAF-6899CE34E12F}"/>
            </a:ext>
          </a:extLst>
        </xdr:cNvPr>
        <xdr:cNvSpPr/>
      </xdr:nvSpPr>
      <xdr:spPr>
        <a:xfrm>
          <a:off x="121920" y="13258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0</xdr:col>
      <xdr:colOff>121920</xdr:colOff>
      <xdr:row>5</xdr:row>
      <xdr:rowOff>0</xdr:rowOff>
    </xdr:from>
    <xdr:to>
      <xdr:col>0</xdr:col>
      <xdr:colOff>411480</xdr:colOff>
      <xdr:row>5</xdr:row>
      <xdr:rowOff>266700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25DC7614-FA65-4198-9826-2F151BA6607D}"/>
            </a:ext>
          </a:extLst>
        </xdr:cNvPr>
        <xdr:cNvSpPr/>
      </xdr:nvSpPr>
      <xdr:spPr>
        <a:xfrm>
          <a:off x="121920" y="16306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0</xdr:col>
      <xdr:colOff>121920</xdr:colOff>
      <xdr:row>6</xdr:row>
      <xdr:rowOff>0</xdr:rowOff>
    </xdr:from>
    <xdr:to>
      <xdr:col>0</xdr:col>
      <xdr:colOff>411480</xdr:colOff>
      <xdr:row>6</xdr:row>
      <xdr:rowOff>266700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D52724EA-E0EB-4C65-A397-D589D101E6CD}"/>
            </a:ext>
          </a:extLst>
        </xdr:cNvPr>
        <xdr:cNvSpPr/>
      </xdr:nvSpPr>
      <xdr:spPr>
        <a:xfrm>
          <a:off x="121920" y="20421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0</xdr:col>
      <xdr:colOff>121920</xdr:colOff>
      <xdr:row>9</xdr:row>
      <xdr:rowOff>0</xdr:rowOff>
    </xdr:from>
    <xdr:to>
      <xdr:col>0</xdr:col>
      <xdr:colOff>411480</xdr:colOff>
      <xdr:row>9</xdr:row>
      <xdr:rowOff>266700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15F65F8D-FDDC-4922-B5DC-E3F1D61824D8}"/>
            </a:ext>
          </a:extLst>
        </xdr:cNvPr>
        <xdr:cNvSpPr/>
      </xdr:nvSpPr>
      <xdr:spPr>
        <a:xfrm>
          <a:off x="121920" y="310896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0</xdr:col>
      <xdr:colOff>121920</xdr:colOff>
      <xdr:row>10</xdr:row>
      <xdr:rowOff>0</xdr:rowOff>
    </xdr:from>
    <xdr:to>
      <xdr:col>0</xdr:col>
      <xdr:colOff>411480</xdr:colOff>
      <xdr:row>10</xdr:row>
      <xdr:rowOff>266700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E4E356CB-3857-422E-8009-749E2AFD8C15}"/>
            </a:ext>
          </a:extLst>
        </xdr:cNvPr>
        <xdr:cNvSpPr/>
      </xdr:nvSpPr>
      <xdr:spPr>
        <a:xfrm>
          <a:off x="121920" y="34594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929640</xdr:colOff>
      <xdr:row>13</xdr:row>
      <xdr:rowOff>30480</xdr:rowOff>
    </xdr:from>
    <xdr:to>
      <xdr:col>8</xdr:col>
      <xdr:colOff>1219200</xdr:colOff>
      <xdr:row>13</xdr:row>
      <xdr:rowOff>297180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5C3EFD62-546D-40F9-8C52-A7E5C8AB0888}"/>
            </a:ext>
          </a:extLst>
        </xdr:cNvPr>
        <xdr:cNvSpPr/>
      </xdr:nvSpPr>
      <xdr:spPr>
        <a:xfrm>
          <a:off x="12588240" y="452628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3</xdr:col>
      <xdr:colOff>144780</xdr:colOff>
      <xdr:row>3</xdr:row>
      <xdr:rowOff>22860</xdr:rowOff>
    </xdr:from>
    <xdr:to>
      <xdr:col>3</xdr:col>
      <xdr:colOff>434340</xdr:colOff>
      <xdr:row>3</xdr:row>
      <xdr:rowOff>289560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3B85EF8B-B14F-4E34-8B8D-B7FF9E7CC5C2}"/>
            </a:ext>
          </a:extLst>
        </xdr:cNvPr>
        <xdr:cNvSpPr/>
      </xdr:nvSpPr>
      <xdr:spPr>
        <a:xfrm>
          <a:off x="5364480" y="96012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4</xdr:col>
      <xdr:colOff>800100</xdr:colOff>
      <xdr:row>3</xdr:row>
      <xdr:rowOff>7620</xdr:rowOff>
    </xdr:from>
    <xdr:to>
      <xdr:col>4</xdr:col>
      <xdr:colOff>1127760</xdr:colOff>
      <xdr:row>3</xdr:row>
      <xdr:rowOff>297180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CEADC2AE-CE60-4F56-99EA-FF911F028116}"/>
            </a:ext>
          </a:extLst>
        </xdr:cNvPr>
        <xdr:cNvSpPr/>
      </xdr:nvSpPr>
      <xdr:spPr>
        <a:xfrm>
          <a:off x="7322820" y="944880"/>
          <a:ext cx="3276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114300</xdr:colOff>
      <xdr:row>5</xdr:row>
      <xdr:rowOff>15240</xdr:rowOff>
    </xdr:from>
    <xdr:to>
      <xdr:col>5</xdr:col>
      <xdr:colOff>403860</xdr:colOff>
      <xdr:row>5</xdr:row>
      <xdr:rowOff>297180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F2AA9666-FAF4-4D9E-906A-08BA36AE1BB9}"/>
            </a:ext>
          </a:extLst>
        </xdr:cNvPr>
        <xdr:cNvSpPr/>
      </xdr:nvSpPr>
      <xdr:spPr>
        <a:xfrm>
          <a:off x="8039100" y="16459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8</xdr:col>
      <xdr:colOff>800100</xdr:colOff>
      <xdr:row>3</xdr:row>
      <xdr:rowOff>7620</xdr:rowOff>
    </xdr:from>
    <xdr:to>
      <xdr:col>8</xdr:col>
      <xdr:colOff>1089660</xdr:colOff>
      <xdr:row>3</xdr:row>
      <xdr:rowOff>289560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178E80EA-38F4-4CD3-BDE4-E0E05EFF6BD8}"/>
            </a:ext>
          </a:extLst>
        </xdr:cNvPr>
        <xdr:cNvSpPr/>
      </xdr:nvSpPr>
      <xdr:spPr>
        <a:xfrm>
          <a:off x="12458700" y="9448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6</xdr:col>
      <xdr:colOff>769620</xdr:colOff>
      <xdr:row>5</xdr:row>
      <xdr:rowOff>30480</xdr:rowOff>
    </xdr:from>
    <xdr:to>
      <xdr:col>6</xdr:col>
      <xdr:colOff>1059180</xdr:colOff>
      <xdr:row>5</xdr:row>
      <xdr:rowOff>320040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FC70B2D3-B13F-4F59-8788-54314ECEB45C}"/>
            </a:ext>
          </a:extLst>
        </xdr:cNvPr>
        <xdr:cNvSpPr/>
      </xdr:nvSpPr>
      <xdr:spPr>
        <a:xfrm>
          <a:off x="9860280" y="166116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5</xdr:col>
      <xdr:colOff>121920</xdr:colOff>
      <xdr:row>3</xdr:row>
      <xdr:rowOff>15240</xdr:rowOff>
    </xdr:from>
    <xdr:to>
      <xdr:col>5</xdr:col>
      <xdr:colOff>411480</xdr:colOff>
      <xdr:row>3</xdr:row>
      <xdr:rowOff>304800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08EA787E-409B-4D47-9531-1AAD35A3BBD5}"/>
            </a:ext>
          </a:extLst>
        </xdr:cNvPr>
        <xdr:cNvSpPr/>
      </xdr:nvSpPr>
      <xdr:spPr>
        <a:xfrm>
          <a:off x="8046720" y="95250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7620</xdr:colOff>
      <xdr:row>9</xdr:row>
      <xdr:rowOff>15240</xdr:rowOff>
    </xdr:to>
    <xdr:sp macro="" textlink="">
      <xdr:nvSpPr>
        <xdr:cNvPr id="23" name="Line 69">
          <a:extLst>
            <a:ext uri="{FF2B5EF4-FFF2-40B4-BE49-F238E27FC236}">
              <a16:creationId xmlns:a16="http://schemas.microsoft.com/office/drawing/2014/main" id="{1D16F260-BF5E-4B51-AB2A-5CE365D26E51}"/>
            </a:ext>
          </a:extLst>
        </xdr:cNvPr>
        <xdr:cNvSpPr>
          <a:spLocks noChangeShapeType="1"/>
        </xdr:cNvSpPr>
      </xdr:nvSpPr>
      <xdr:spPr bwMode="auto">
        <a:xfrm>
          <a:off x="6522720" y="937260"/>
          <a:ext cx="7620" cy="21869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3</xdr:row>
      <xdr:rowOff>22860</xdr:rowOff>
    </xdr:from>
    <xdr:to>
      <xdr:col>8</xdr:col>
      <xdr:colOff>7620</xdr:colOff>
      <xdr:row>3</xdr:row>
      <xdr:rowOff>373380</xdr:rowOff>
    </xdr:to>
    <xdr:sp macro="" textlink="">
      <xdr:nvSpPr>
        <xdr:cNvPr id="24" name="Line 70">
          <a:extLst>
            <a:ext uri="{FF2B5EF4-FFF2-40B4-BE49-F238E27FC236}">
              <a16:creationId xmlns:a16="http://schemas.microsoft.com/office/drawing/2014/main" id="{69811CEF-EC5B-4286-A107-8D37CB419FA9}"/>
            </a:ext>
          </a:extLst>
        </xdr:cNvPr>
        <xdr:cNvSpPr>
          <a:spLocks noChangeShapeType="1"/>
        </xdr:cNvSpPr>
      </xdr:nvSpPr>
      <xdr:spPr bwMode="auto">
        <a:xfrm flipH="1">
          <a:off x="11666220" y="96012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464821</xdr:colOff>
      <xdr:row>2</xdr:row>
      <xdr:rowOff>110490</xdr:rowOff>
    </xdr:from>
    <xdr:to>
      <xdr:col>4</xdr:col>
      <xdr:colOff>982981</xdr:colOff>
      <xdr:row>2</xdr:row>
      <xdr:rowOff>350520</xdr:rowOff>
    </xdr:to>
    <xdr:sp macro="" textlink="">
      <xdr:nvSpPr>
        <xdr:cNvPr id="25" name="Text Box 71">
          <a:extLst>
            <a:ext uri="{FF2B5EF4-FFF2-40B4-BE49-F238E27FC236}">
              <a16:creationId xmlns:a16="http://schemas.microsoft.com/office/drawing/2014/main" id="{756FD370-066E-4A31-9F60-0D4D72C14F02}"/>
            </a:ext>
          </a:extLst>
        </xdr:cNvPr>
        <xdr:cNvSpPr txBox="1">
          <a:spLocks noChangeArrowheads="1"/>
        </xdr:cNvSpPr>
      </xdr:nvSpPr>
      <xdr:spPr bwMode="auto">
        <a:xfrm>
          <a:off x="5684521" y="666750"/>
          <a:ext cx="1821180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Caixa e Bancos     </a:t>
          </a:r>
        </a:p>
      </xdr:txBody>
    </xdr:sp>
    <xdr:clientData/>
  </xdr:twoCellAnchor>
  <xdr:twoCellAnchor>
    <xdr:from>
      <xdr:col>9</xdr:col>
      <xdr:colOff>205740</xdr:colOff>
      <xdr:row>2</xdr:row>
      <xdr:rowOff>373380</xdr:rowOff>
    </xdr:from>
    <xdr:to>
      <xdr:col>10</xdr:col>
      <xdr:colOff>1135380</xdr:colOff>
      <xdr:row>3</xdr:row>
      <xdr:rowOff>0</xdr:rowOff>
    </xdr:to>
    <xdr:sp macro="" textlink="">
      <xdr:nvSpPr>
        <xdr:cNvPr id="26" name="Line 72">
          <a:extLst>
            <a:ext uri="{FF2B5EF4-FFF2-40B4-BE49-F238E27FC236}">
              <a16:creationId xmlns:a16="http://schemas.microsoft.com/office/drawing/2014/main" id="{152F3464-9314-409A-BB86-B29770E7203A}"/>
            </a:ext>
          </a:extLst>
        </xdr:cNvPr>
        <xdr:cNvSpPr>
          <a:spLocks noChangeShapeType="1"/>
        </xdr:cNvSpPr>
      </xdr:nvSpPr>
      <xdr:spPr bwMode="auto">
        <a:xfrm>
          <a:off x="13327380" y="929640"/>
          <a:ext cx="21945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7620</xdr:colOff>
      <xdr:row>4</xdr:row>
      <xdr:rowOff>15240</xdr:rowOff>
    </xdr:to>
    <xdr:sp macro="" textlink="">
      <xdr:nvSpPr>
        <xdr:cNvPr id="27" name="Line 73">
          <a:extLst>
            <a:ext uri="{FF2B5EF4-FFF2-40B4-BE49-F238E27FC236}">
              <a16:creationId xmlns:a16="http://schemas.microsoft.com/office/drawing/2014/main" id="{A9EC0B9B-2D9D-4FCB-8AE7-CBFDE6CC7D59}"/>
            </a:ext>
          </a:extLst>
        </xdr:cNvPr>
        <xdr:cNvSpPr>
          <a:spLocks noChangeShapeType="1"/>
        </xdr:cNvSpPr>
      </xdr:nvSpPr>
      <xdr:spPr bwMode="auto">
        <a:xfrm>
          <a:off x="14386560" y="937260"/>
          <a:ext cx="762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864870</xdr:colOff>
      <xdr:row>12</xdr:row>
      <xdr:rowOff>87630</xdr:rowOff>
    </xdr:from>
    <xdr:to>
      <xdr:col>8</xdr:col>
      <xdr:colOff>453390</xdr:colOff>
      <xdr:row>12</xdr:row>
      <xdr:rowOff>308610</xdr:rowOff>
    </xdr:to>
    <xdr:sp macro="" textlink="">
      <xdr:nvSpPr>
        <xdr:cNvPr id="28" name="Text Box 76">
          <a:extLst>
            <a:ext uri="{FF2B5EF4-FFF2-40B4-BE49-F238E27FC236}">
              <a16:creationId xmlns:a16="http://schemas.microsoft.com/office/drawing/2014/main" id="{744D3B50-254B-4893-80BB-FB4869EDF2F6}"/>
            </a:ext>
          </a:extLst>
        </xdr:cNvPr>
        <xdr:cNvSpPr txBox="1">
          <a:spLocks noChangeArrowheads="1"/>
        </xdr:cNvSpPr>
      </xdr:nvSpPr>
      <xdr:spPr bwMode="auto">
        <a:xfrm>
          <a:off x="11205210" y="4240530"/>
          <a:ext cx="906780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Capital</a:t>
          </a:r>
        </a:p>
      </xdr:txBody>
    </xdr:sp>
    <xdr:clientData/>
  </xdr:twoCellAnchor>
  <xdr:twoCellAnchor>
    <xdr:from>
      <xdr:col>5</xdr:col>
      <xdr:colOff>647700</xdr:colOff>
      <xdr:row>2</xdr:row>
      <xdr:rowOff>121920</xdr:rowOff>
    </xdr:from>
    <xdr:to>
      <xdr:col>6</xdr:col>
      <xdr:colOff>594360</xdr:colOff>
      <xdr:row>3</xdr:row>
      <xdr:rowOff>0</xdr:rowOff>
    </xdr:to>
    <xdr:sp macro="" textlink="">
      <xdr:nvSpPr>
        <xdr:cNvPr id="29" name="Text Box 78">
          <a:extLst>
            <a:ext uri="{FF2B5EF4-FFF2-40B4-BE49-F238E27FC236}">
              <a16:creationId xmlns:a16="http://schemas.microsoft.com/office/drawing/2014/main" id="{1956E6A4-AFDB-4EED-8D55-ACD8846CEFD2}"/>
            </a:ext>
          </a:extLst>
        </xdr:cNvPr>
        <xdr:cNvSpPr txBox="1">
          <a:spLocks noChangeArrowheads="1"/>
        </xdr:cNvSpPr>
      </xdr:nvSpPr>
      <xdr:spPr bwMode="auto">
        <a:xfrm>
          <a:off x="8572500" y="678180"/>
          <a:ext cx="1112520" cy="2590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Contas a receber</a:t>
          </a:r>
        </a:p>
      </xdr:txBody>
    </xdr:sp>
    <xdr:clientData/>
  </xdr:twoCellAnchor>
  <xdr:twoCellAnchor>
    <xdr:from>
      <xdr:col>5</xdr:col>
      <xdr:colOff>106680</xdr:colOff>
      <xdr:row>2</xdr:row>
      <xdr:rowOff>365760</xdr:rowOff>
    </xdr:from>
    <xdr:to>
      <xdr:col>6</xdr:col>
      <xdr:colOff>1021080</xdr:colOff>
      <xdr:row>2</xdr:row>
      <xdr:rowOff>365760</xdr:rowOff>
    </xdr:to>
    <xdr:sp macro="" textlink="">
      <xdr:nvSpPr>
        <xdr:cNvPr id="30" name="Line 90">
          <a:extLst>
            <a:ext uri="{FF2B5EF4-FFF2-40B4-BE49-F238E27FC236}">
              <a16:creationId xmlns:a16="http://schemas.microsoft.com/office/drawing/2014/main" id="{61A58A01-45E0-41D8-BC54-F6592E0D7B12}"/>
            </a:ext>
          </a:extLst>
        </xdr:cNvPr>
        <xdr:cNvSpPr>
          <a:spLocks noChangeShapeType="1"/>
        </xdr:cNvSpPr>
      </xdr:nvSpPr>
      <xdr:spPr bwMode="auto">
        <a:xfrm>
          <a:off x="8031480" y="922020"/>
          <a:ext cx="20802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7620</xdr:colOff>
      <xdr:row>4</xdr:row>
      <xdr:rowOff>0</xdr:rowOff>
    </xdr:to>
    <xdr:sp macro="" textlink="">
      <xdr:nvSpPr>
        <xdr:cNvPr id="31" name="Line 91">
          <a:extLst>
            <a:ext uri="{FF2B5EF4-FFF2-40B4-BE49-F238E27FC236}">
              <a16:creationId xmlns:a16="http://schemas.microsoft.com/office/drawing/2014/main" id="{F4D08E60-38B7-4F40-9A67-CC96564CF1A9}"/>
            </a:ext>
          </a:extLst>
        </xdr:cNvPr>
        <xdr:cNvSpPr>
          <a:spLocks noChangeShapeType="1"/>
        </xdr:cNvSpPr>
      </xdr:nvSpPr>
      <xdr:spPr bwMode="auto">
        <a:xfrm>
          <a:off x="9090660" y="93726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670560</xdr:colOff>
      <xdr:row>4</xdr:row>
      <xdr:rowOff>93345</xdr:rowOff>
    </xdr:from>
    <xdr:to>
      <xdr:col>6</xdr:col>
      <xdr:colOff>615267</xdr:colOff>
      <xdr:row>4</xdr:row>
      <xdr:rowOff>289560</xdr:rowOff>
    </xdr:to>
    <xdr:sp macro="" textlink="">
      <xdr:nvSpPr>
        <xdr:cNvPr id="32" name="Text Box 92">
          <a:extLst>
            <a:ext uri="{FF2B5EF4-FFF2-40B4-BE49-F238E27FC236}">
              <a16:creationId xmlns:a16="http://schemas.microsoft.com/office/drawing/2014/main" id="{193B26C6-19E9-475D-81C8-4937F444481E}"/>
            </a:ext>
          </a:extLst>
        </xdr:cNvPr>
        <xdr:cNvSpPr txBox="1">
          <a:spLocks noChangeArrowheads="1"/>
        </xdr:cNvSpPr>
      </xdr:nvSpPr>
      <xdr:spPr bwMode="auto">
        <a:xfrm>
          <a:off x="8595360" y="1419225"/>
          <a:ext cx="1110567" cy="196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Estoques</a:t>
          </a:r>
        </a:p>
      </xdr:txBody>
    </xdr:sp>
    <xdr:clientData/>
  </xdr:twoCellAnchor>
  <xdr:twoCellAnchor>
    <xdr:from>
      <xdr:col>5</xdr:col>
      <xdr:colOff>655320</xdr:colOff>
      <xdr:row>6</xdr:row>
      <xdr:rowOff>118110</xdr:rowOff>
    </xdr:from>
    <xdr:to>
      <xdr:col>6</xdr:col>
      <xdr:colOff>600026</xdr:colOff>
      <xdr:row>6</xdr:row>
      <xdr:rowOff>329565</xdr:rowOff>
    </xdr:to>
    <xdr:sp macro="" textlink="">
      <xdr:nvSpPr>
        <xdr:cNvPr id="33" name="Text Box 93">
          <a:extLst>
            <a:ext uri="{FF2B5EF4-FFF2-40B4-BE49-F238E27FC236}">
              <a16:creationId xmlns:a16="http://schemas.microsoft.com/office/drawing/2014/main" id="{C2B92078-D164-479A-BB56-E2D1F09EF52D}"/>
            </a:ext>
          </a:extLst>
        </xdr:cNvPr>
        <xdr:cNvSpPr txBox="1">
          <a:spLocks noChangeArrowheads="1"/>
        </xdr:cNvSpPr>
      </xdr:nvSpPr>
      <xdr:spPr bwMode="auto">
        <a:xfrm>
          <a:off x="8580120" y="2160270"/>
          <a:ext cx="1110566" cy="2114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retido</a:t>
          </a:r>
        </a:p>
      </xdr:txBody>
    </xdr:sp>
    <xdr:clientData/>
  </xdr:twoCellAnchor>
  <xdr:twoCellAnchor>
    <xdr:from>
      <xdr:col>7</xdr:col>
      <xdr:colOff>874395</xdr:colOff>
      <xdr:row>8</xdr:row>
      <xdr:rowOff>55245</xdr:rowOff>
    </xdr:from>
    <xdr:to>
      <xdr:col>8</xdr:col>
      <xdr:colOff>493395</xdr:colOff>
      <xdr:row>8</xdr:row>
      <xdr:rowOff>274320</xdr:rowOff>
    </xdr:to>
    <xdr:sp macro="" textlink="">
      <xdr:nvSpPr>
        <xdr:cNvPr id="34" name="Text Box 95">
          <a:extLst>
            <a:ext uri="{FF2B5EF4-FFF2-40B4-BE49-F238E27FC236}">
              <a16:creationId xmlns:a16="http://schemas.microsoft.com/office/drawing/2014/main" id="{0D4ADA90-EFA3-46DF-AB5C-EA1DDAE0F8E2}"/>
            </a:ext>
          </a:extLst>
        </xdr:cNvPr>
        <xdr:cNvSpPr txBox="1">
          <a:spLocks noChangeArrowheads="1"/>
        </xdr:cNvSpPr>
      </xdr:nvSpPr>
      <xdr:spPr bwMode="auto">
        <a:xfrm>
          <a:off x="11214735" y="2851785"/>
          <a:ext cx="93726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ICMS a pagar</a:t>
          </a:r>
        </a:p>
      </xdr:txBody>
    </xdr:sp>
    <xdr:clientData/>
  </xdr:twoCellAnchor>
  <xdr:twoCellAnchor>
    <xdr:from>
      <xdr:col>5</xdr:col>
      <xdr:colOff>137160</xdr:colOff>
      <xdr:row>6</xdr:row>
      <xdr:rowOff>350520</xdr:rowOff>
    </xdr:from>
    <xdr:to>
      <xdr:col>6</xdr:col>
      <xdr:colOff>1097280</xdr:colOff>
      <xdr:row>6</xdr:row>
      <xdr:rowOff>350520</xdr:rowOff>
    </xdr:to>
    <xdr:sp macro="" textlink="">
      <xdr:nvSpPr>
        <xdr:cNvPr id="35" name="Line 97">
          <a:extLst>
            <a:ext uri="{FF2B5EF4-FFF2-40B4-BE49-F238E27FC236}">
              <a16:creationId xmlns:a16="http://schemas.microsoft.com/office/drawing/2014/main" id="{7C9D12BD-DABE-474C-8A0B-02388E731134}"/>
            </a:ext>
          </a:extLst>
        </xdr:cNvPr>
        <xdr:cNvSpPr>
          <a:spLocks noChangeShapeType="1"/>
        </xdr:cNvSpPr>
      </xdr:nvSpPr>
      <xdr:spPr bwMode="auto">
        <a:xfrm flipV="1">
          <a:off x="8061960" y="2392680"/>
          <a:ext cx="2125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</xdr:row>
      <xdr:rowOff>358140</xdr:rowOff>
    </xdr:from>
    <xdr:to>
      <xdr:col>6</xdr:col>
      <xdr:colOff>7620</xdr:colOff>
      <xdr:row>8</xdr:row>
      <xdr:rowOff>38100</xdr:rowOff>
    </xdr:to>
    <xdr:sp macro="" textlink="">
      <xdr:nvSpPr>
        <xdr:cNvPr id="36" name="Line 98">
          <a:extLst>
            <a:ext uri="{FF2B5EF4-FFF2-40B4-BE49-F238E27FC236}">
              <a16:creationId xmlns:a16="http://schemas.microsoft.com/office/drawing/2014/main" id="{02E6683C-2779-4AC7-ADC7-11666918FFEB}"/>
            </a:ext>
          </a:extLst>
        </xdr:cNvPr>
        <xdr:cNvSpPr>
          <a:spLocks noChangeShapeType="1"/>
        </xdr:cNvSpPr>
      </xdr:nvSpPr>
      <xdr:spPr bwMode="auto">
        <a:xfrm flipH="1">
          <a:off x="9090660" y="2400300"/>
          <a:ext cx="7620" cy="434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649605</xdr:colOff>
      <xdr:row>8</xdr:row>
      <xdr:rowOff>95250</xdr:rowOff>
    </xdr:from>
    <xdr:to>
      <xdr:col>6</xdr:col>
      <xdr:colOff>649605</xdr:colOff>
      <xdr:row>8</xdr:row>
      <xdr:rowOff>304959</xdr:rowOff>
    </xdr:to>
    <xdr:sp macro="" textlink="">
      <xdr:nvSpPr>
        <xdr:cNvPr id="37" name="Text Box 99">
          <a:extLst>
            <a:ext uri="{FF2B5EF4-FFF2-40B4-BE49-F238E27FC236}">
              <a16:creationId xmlns:a16="http://schemas.microsoft.com/office/drawing/2014/main" id="{D971CD43-C0BF-48A1-A58B-2084542B5507}"/>
            </a:ext>
          </a:extLst>
        </xdr:cNvPr>
        <xdr:cNvSpPr txBox="1">
          <a:spLocks noChangeArrowheads="1"/>
        </xdr:cNvSpPr>
      </xdr:nvSpPr>
      <xdr:spPr bwMode="auto">
        <a:xfrm>
          <a:off x="8574405" y="2891790"/>
          <a:ext cx="1165860" cy="2097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Equipamento</a:t>
          </a:r>
        </a:p>
      </xdr:txBody>
    </xdr:sp>
    <xdr:clientData/>
  </xdr:twoCellAnchor>
  <xdr:twoCellAnchor>
    <xdr:from>
      <xdr:col>5</xdr:col>
      <xdr:colOff>121920</xdr:colOff>
      <xdr:row>5</xdr:row>
      <xdr:rowOff>0</xdr:rowOff>
    </xdr:from>
    <xdr:to>
      <xdr:col>6</xdr:col>
      <xdr:colOff>1089660</xdr:colOff>
      <xdr:row>5</xdr:row>
      <xdr:rowOff>7620</xdr:rowOff>
    </xdr:to>
    <xdr:sp macro="" textlink="">
      <xdr:nvSpPr>
        <xdr:cNvPr id="38" name="Line 101">
          <a:extLst>
            <a:ext uri="{FF2B5EF4-FFF2-40B4-BE49-F238E27FC236}">
              <a16:creationId xmlns:a16="http://schemas.microsoft.com/office/drawing/2014/main" id="{C772E06C-5D04-43B2-AC03-739586F2838F}"/>
            </a:ext>
          </a:extLst>
        </xdr:cNvPr>
        <xdr:cNvSpPr>
          <a:spLocks noChangeShapeType="1"/>
        </xdr:cNvSpPr>
      </xdr:nvSpPr>
      <xdr:spPr bwMode="auto">
        <a:xfrm>
          <a:off x="8046720" y="1630680"/>
          <a:ext cx="21336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</xdr:row>
      <xdr:rowOff>22860</xdr:rowOff>
    </xdr:from>
    <xdr:to>
      <xdr:col>6</xdr:col>
      <xdr:colOff>0</xdr:colOff>
      <xdr:row>6</xdr:row>
      <xdr:rowOff>0</xdr:rowOff>
    </xdr:to>
    <xdr:sp macro="" textlink="">
      <xdr:nvSpPr>
        <xdr:cNvPr id="39" name="Line 102">
          <a:extLst>
            <a:ext uri="{FF2B5EF4-FFF2-40B4-BE49-F238E27FC236}">
              <a16:creationId xmlns:a16="http://schemas.microsoft.com/office/drawing/2014/main" id="{D02CAC57-AF6C-474E-86C6-1917D406535F}"/>
            </a:ext>
          </a:extLst>
        </xdr:cNvPr>
        <xdr:cNvSpPr>
          <a:spLocks noChangeShapeType="1"/>
        </xdr:cNvSpPr>
      </xdr:nvSpPr>
      <xdr:spPr bwMode="auto">
        <a:xfrm>
          <a:off x="9090660" y="1653540"/>
          <a:ext cx="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321944</xdr:colOff>
      <xdr:row>12</xdr:row>
      <xdr:rowOff>83821</xdr:rowOff>
    </xdr:from>
    <xdr:to>
      <xdr:col>10</xdr:col>
      <xdr:colOff>1028700</xdr:colOff>
      <xdr:row>12</xdr:row>
      <xdr:rowOff>335280</xdr:rowOff>
    </xdr:to>
    <xdr:sp macro="" textlink="">
      <xdr:nvSpPr>
        <xdr:cNvPr id="40" name="Text Box 106">
          <a:extLst>
            <a:ext uri="{FF2B5EF4-FFF2-40B4-BE49-F238E27FC236}">
              <a16:creationId xmlns:a16="http://schemas.microsoft.com/office/drawing/2014/main" id="{F9437A5C-54CD-48D8-B99B-B373FA03121B}"/>
            </a:ext>
          </a:extLst>
        </xdr:cNvPr>
        <xdr:cNvSpPr txBox="1">
          <a:spLocks noChangeArrowheads="1"/>
        </xdr:cNvSpPr>
      </xdr:nvSpPr>
      <xdr:spPr bwMode="auto">
        <a:xfrm>
          <a:off x="13443584" y="4236721"/>
          <a:ext cx="1971676" cy="2514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Despesas de Depreciação</a:t>
          </a:r>
        </a:p>
      </xdr:txBody>
    </xdr:sp>
    <xdr:clientData/>
  </xdr:twoCellAnchor>
  <xdr:twoCellAnchor>
    <xdr:from>
      <xdr:col>9</xdr:col>
      <xdr:colOff>708660</xdr:colOff>
      <xdr:row>8</xdr:row>
      <xdr:rowOff>70485</xdr:rowOff>
    </xdr:from>
    <xdr:to>
      <xdr:col>10</xdr:col>
      <xdr:colOff>807720</xdr:colOff>
      <xdr:row>9</xdr:row>
      <xdr:rowOff>60960</xdr:rowOff>
    </xdr:to>
    <xdr:sp macro="" textlink="">
      <xdr:nvSpPr>
        <xdr:cNvPr id="41" name="Text Box 108">
          <a:extLst>
            <a:ext uri="{FF2B5EF4-FFF2-40B4-BE49-F238E27FC236}">
              <a16:creationId xmlns:a16="http://schemas.microsoft.com/office/drawing/2014/main" id="{350E17EE-CCC9-4B7F-952A-D5A10BF49045}"/>
            </a:ext>
          </a:extLst>
        </xdr:cNvPr>
        <xdr:cNvSpPr txBox="1">
          <a:spLocks noChangeArrowheads="1"/>
        </xdr:cNvSpPr>
      </xdr:nvSpPr>
      <xdr:spPr bwMode="auto">
        <a:xfrm>
          <a:off x="13830300" y="2867025"/>
          <a:ext cx="1363980" cy="3028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Custo de mão de obra</a:t>
          </a:r>
        </a:p>
      </xdr:txBody>
    </xdr:sp>
    <xdr:clientData/>
  </xdr:twoCellAnchor>
  <xdr:twoCellAnchor>
    <xdr:from>
      <xdr:col>7</xdr:col>
      <xdr:colOff>746760</xdr:colOff>
      <xdr:row>4</xdr:row>
      <xdr:rowOff>68580</xdr:rowOff>
    </xdr:from>
    <xdr:to>
      <xdr:col>8</xdr:col>
      <xdr:colOff>563880</xdr:colOff>
      <xdr:row>5</xdr:row>
      <xdr:rowOff>0</xdr:rowOff>
    </xdr:to>
    <xdr:sp macro="" textlink="">
      <xdr:nvSpPr>
        <xdr:cNvPr id="42" name="Text Box 118">
          <a:extLst>
            <a:ext uri="{FF2B5EF4-FFF2-40B4-BE49-F238E27FC236}">
              <a16:creationId xmlns:a16="http://schemas.microsoft.com/office/drawing/2014/main" id="{ECD14E28-BE60-457B-AB6D-2285511B88AC}"/>
            </a:ext>
          </a:extLst>
        </xdr:cNvPr>
        <xdr:cNvSpPr txBox="1">
          <a:spLocks noChangeArrowheads="1"/>
        </xdr:cNvSpPr>
      </xdr:nvSpPr>
      <xdr:spPr bwMode="auto">
        <a:xfrm>
          <a:off x="11087100" y="1394460"/>
          <a:ext cx="1135380" cy="2362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Salários a pagar</a:t>
          </a:r>
        </a:p>
      </xdr:txBody>
    </xdr:sp>
    <xdr:clientData/>
  </xdr:twoCellAnchor>
  <xdr:twoCellAnchor>
    <xdr:from>
      <xdr:col>7</xdr:col>
      <xdr:colOff>666750</xdr:colOff>
      <xdr:row>6</xdr:row>
      <xdr:rowOff>76200</xdr:rowOff>
    </xdr:from>
    <xdr:to>
      <xdr:col>8</xdr:col>
      <xdr:colOff>800100</xdr:colOff>
      <xdr:row>6</xdr:row>
      <xdr:rowOff>301142</xdr:rowOff>
    </xdr:to>
    <xdr:sp macro="" textlink="">
      <xdr:nvSpPr>
        <xdr:cNvPr id="43" name="Text Box 121">
          <a:extLst>
            <a:ext uri="{FF2B5EF4-FFF2-40B4-BE49-F238E27FC236}">
              <a16:creationId xmlns:a16="http://schemas.microsoft.com/office/drawing/2014/main" id="{CB5D3234-9A3B-4996-96A1-88D945ACADEB}"/>
            </a:ext>
          </a:extLst>
        </xdr:cNvPr>
        <xdr:cNvSpPr txBox="1">
          <a:spLocks noChangeArrowheads="1"/>
        </xdr:cNvSpPr>
      </xdr:nvSpPr>
      <xdr:spPr bwMode="auto">
        <a:xfrm>
          <a:off x="11007090" y="2118360"/>
          <a:ext cx="1451610" cy="2249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Empréstimos a pagar</a:t>
          </a:r>
        </a:p>
      </xdr:txBody>
    </xdr:sp>
    <xdr:clientData/>
  </xdr:twoCellAnchor>
  <xdr:twoCellAnchor>
    <xdr:from>
      <xdr:col>7</xdr:col>
      <xdr:colOff>167640</xdr:colOff>
      <xdr:row>3</xdr:row>
      <xdr:rowOff>0</xdr:rowOff>
    </xdr:from>
    <xdr:to>
      <xdr:col>8</xdr:col>
      <xdr:colOff>1295400</xdr:colOff>
      <xdr:row>3</xdr:row>
      <xdr:rowOff>0</xdr:rowOff>
    </xdr:to>
    <xdr:sp macro="" textlink="">
      <xdr:nvSpPr>
        <xdr:cNvPr id="44" name="Line 125">
          <a:extLst>
            <a:ext uri="{FF2B5EF4-FFF2-40B4-BE49-F238E27FC236}">
              <a16:creationId xmlns:a16="http://schemas.microsoft.com/office/drawing/2014/main" id="{C45BD3E8-078D-417C-9A00-80EA1332EEE1}"/>
            </a:ext>
          </a:extLst>
        </xdr:cNvPr>
        <xdr:cNvSpPr>
          <a:spLocks noChangeShapeType="1"/>
        </xdr:cNvSpPr>
      </xdr:nvSpPr>
      <xdr:spPr bwMode="auto">
        <a:xfrm>
          <a:off x="10507980" y="9372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5</xdr:row>
      <xdr:rowOff>0</xdr:rowOff>
    </xdr:from>
    <xdr:to>
      <xdr:col>10</xdr:col>
      <xdr:colOff>1097280</xdr:colOff>
      <xdr:row>5</xdr:row>
      <xdr:rowOff>0</xdr:rowOff>
    </xdr:to>
    <xdr:sp macro="" textlink="">
      <xdr:nvSpPr>
        <xdr:cNvPr id="45" name="Line 135">
          <a:extLst>
            <a:ext uri="{FF2B5EF4-FFF2-40B4-BE49-F238E27FC236}">
              <a16:creationId xmlns:a16="http://schemas.microsoft.com/office/drawing/2014/main" id="{30DDC80A-7C2C-4362-A828-C8A9B37661BD}"/>
            </a:ext>
          </a:extLst>
        </xdr:cNvPr>
        <xdr:cNvSpPr>
          <a:spLocks noChangeShapeType="1"/>
        </xdr:cNvSpPr>
      </xdr:nvSpPr>
      <xdr:spPr bwMode="auto">
        <a:xfrm>
          <a:off x="13228320" y="1630680"/>
          <a:ext cx="22555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5</xdr:row>
      <xdr:rowOff>7620</xdr:rowOff>
    </xdr:from>
    <xdr:to>
      <xdr:col>10</xdr:col>
      <xdr:colOff>7620</xdr:colOff>
      <xdr:row>5</xdr:row>
      <xdr:rowOff>388620</xdr:rowOff>
    </xdr:to>
    <xdr:sp macro="" textlink="">
      <xdr:nvSpPr>
        <xdr:cNvPr id="46" name="Line 142">
          <a:extLst>
            <a:ext uri="{FF2B5EF4-FFF2-40B4-BE49-F238E27FC236}">
              <a16:creationId xmlns:a16="http://schemas.microsoft.com/office/drawing/2014/main" id="{96B6BAD8-222B-4FA3-9CC9-44D4335765F9}"/>
            </a:ext>
          </a:extLst>
        </xdr:cNvPr>
        <xdr:cNvSpPr>
          <a:spLocks noChangeShapeType="1"/>
        </xdr:cNvSpPr>
      </xdr:nvSpPr>
      <xdr:spPr bwMode="auto">
        <a:xfrm>
          <a:off x="14394180" y="163830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</xdr:colOff>
      <xdr:row>3</xdr:row>
      <xdr:rowOff>0</xdr:rowOff>
    </xdr:from>
    <xdr:to>
      <xdr:col>4</xdr:col>
      <xdr:colOff>1219200</xdr:colOff>
      <xdr:row>3</xdr:row>
      <xdr:rowOff>0</xdr:rowOff>
    </xdr:to>
    <xdr:sp macro="" textlink="">
      <xdr:nvSpPr>
        <xdr:cNvPr id="47" name="Line 68">
          <a:extLst>
            <a:ext uri="{FF2B5EF4-FFF2-40B4-BE49-F238E27FC236}">
              <a16:creationId xmlns:a16="http://schemas.microsoft.com/office/drawing/2014/main" id="{FF209BCB-0135-4424-97F3-C00B53B31AE0}"/>
            </a:ext>
          </a:extLst>
        </xdr:cNvPr>
        <xdr:cNvSpPr>
          <a:spLocks noChangeShapeType="1"/>
        </xdr:cNvSpPr>
      </xdr:nvSpPr>
      <xdr:spPr bwMode="auto">
        <a:xfrm>
          <a:off x="5234940" y="937260"/>
          <a:ext cx="2506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</xdr:colOff>
      <xdr:row>16</xdr:row>
      <xdr:rowOff>45720</xdr:rowOff>
    </xdr:from>
    <xdr:to>
      <xdr:col>1</xdr:col>
      <xdr:colOff>3070860</xdr:colOff>
      <xdr:row>17</xdr:row>
      <xdr:rowOff>135255</xdr:rowOff>
    </xdr:to>
    <xdr:sp macro="" textlink="">
      <xdr:nvSpPr>
        <xdr:cNvPr id="48" name="Text Box 93">
          <a:extLst>
            <a:ext uri="{FF2B5EF4-FFF2-40B4-BE49-F238E27FC236}">
              <a16:creationId xmlns:a16="http://schemas.microsoft.com/office/drawing/2014/main" id="{FE20B27E-F6FB-46C7-924E-49A606E1F67D}"/>
            </a:ext>
          </a:extLst>
        </xdr:cNvPr>
        <xdr:cNvSpPr txBox="1">
          <a:spLocks noChangeArrowheads="1"/>
        </xdr:cNvSpPr>
      </xdr:nvSpPr>
      <xdr:spPr bwMode="auto">
        <a:xfrm>
          <a:off x="457200" y="5593080"/>
          <a:ext cx="3040380" cy="2724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(Destino) D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Conta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</a:t>
          </a:r>
          <a:r>
            <a:rPr lang="pt-BR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 (Origem)</a:t>
          </a:r>
        </a:p>
      </xdr:txBody>
    </xdr:sp>
    <xdr:clientData/>
  </xdr:twoCellAnchor>
  <xdr:twoCellAnchor>
    <xdr:from>
      <xdr:col>1</xdr:col>
      <xdr:colOff>1386840</xdr:colOff>
      <xdr:row>17</xdr:row>
      <xdr:rowOff>163830</xdr:rowOff>
    </xdr:from>
    <xdr:to>
      <xdr:col>1</xdr:col>
      <xdr:colOff>1386840</xdr:colOff>
      <xdr:row>20</xdr:row>
      <xdr:rowOff>57150</xdr:rowOff>
    </xdr:to>
    <xdr:sp macro="" textlink="">
      <xdr:nvSpPr>
        <xdr:cNvPr id="49" name="Line 98">
          <a:extLst>
            <a:ext uri="{FF2B5EF4-FFF2-40B4-BE49-F238E27FC236}">
              <a16:creationId xmlns:a16="http://schemas.microsoft.com/office/drawing/2014/main" id="{3DFD05FE-23EA-4CE4-8F3A-22B7E987A506}"/>
            </a:ext>
          </a:extLst>
        </xdr:cNvPr>
        <xdr:cNvSpPr>
          <a:spLocks noChangeShapeType="1"/>
        </xdr:cNvSpPr>
      </xdr:nvSpPr>
      <xdr:spPr bwMode="auto">
        <a:xfrm>
          <a:off x="1813560" y="5894070"/>
          <a:ext cx="0" cy="4419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381000</xdr:colOff>
      <xdr:row>17</xdr:row>
      <xdr:rowOff>152400</xdr:rowOff>
    </xdr:from>
    <xdr:to>
      <xdr:col>1</xdr:col>
      <xdr:colOff>2872740</xdr:colOff>
      <xdr:row>17</xdr:row>
      <xdr:rowOff>152400</xdr:rowOff>
    </xdr:to>
    <xdr:sp macro="" textlink="">
      <xdr:nvSpPr>
        <xdr:cNvPr id="50" name="Line 97">
          <a:extLst>
            <a:ext uri="{FF2B5EF4-FFF2-40B4-BE49-F238E27FC236}">
              <a16:creationId xmlns:a16="http://schemas.microsoft.com/office/drawing/2014/main" id="{EE70727A-1574-4BFB-B70B-50C0B43940F4}"/>
            </a:ext>
          </a:extLst>
        </xdr:cNvPr>
        <xdr:cNvSpPr>
          <a:spLocks noChangeShapeType="1"/>
        </xdr:cNvSpPr>
      </xdr:nvSpPr>
      <xdr:spPr bwMode="auto">
        <a:xfrm>
          <a:off x="381000" y="5882640"/>
          <a:ext cx="2918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99060</xdr:colOff>
      <xdr:row>9</xdr:row>
      <xdr:rowOff>7620</xdr:rowOff>
    </xdr:from>
    <xdr:to>
      <xdr:col>5</xdr:col>
      <xdr:colOff>403860</xdr:colOff>
      <xdr:row>9</xdr:row>
      <xdr:rowOff>312420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6E1C97F3-F071-4BB1-9048-1804F7952CF9}"/>
            </a:ext>
          </a:extLst>
        </xdr:cNvPr>
        <xdr:cNvSpPr/>
      </xdr:nvSpPr>
      <xdr:spPr>
        <a:xfrm>
          <a:off x="8023860" y="3116580"/>
          <a:ext cx="304800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114300</xdr:colOff>
      <xdr:row>7</xdr:row>
      <xdr:rowOff>15240</xdr:rowOff>
    </xdr:from>
    <xdr:to>
      <xdr:col>5</xdr:col>
      <xdr:colOff>403860</xdr:colOff>
      <xdr:row>7</xdr:row>
      <xdr:rowOff>297180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4F5B3596-8ABC-4151-A273-9DE296CBE403}"/>
            </a:ext>
          </a:extLst>
        </xdr:cNvPr>
        <xdr:cNvSpPr/>
      </xdr:nvSpPr>
      <xdr:spPr>
        <a:xfrm>
          <a:off x="803910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10</xdr:col>
      <xdr:colOff>769620</xdr:colOff>
      <xdr:row>3</xdr:row>
      <xdr:rowOff>15240</xdr:rowOff>
    </xdr:from>
    <xdr:to>
      <xdr:col>10</xdr:col>
      <xdr:colOff>1059180</xdr:colOff>
      <xdr:row>3</xdr:row>
      <xdr:rowOff>304800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B77B981E-C6EE-4F9F-B3EE-D28DB4C27EA4}"/>
            </a:ext>
          </a:extLst>
        </xdr:cNvPr>
        <xdr:cNvSpPr/>
      </xdr:nvSpPr>
      <xdr:spPr>
        <a:xfrm>
          <a:off x="15156180" y="952500"/>
          <a:ext cx="289560" cy="28956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236220</xdr:colOff>
      <xdr:row>5</xdr:row>
      <xdr:rowOff>22860</xdr:rowOff>
    </xdr:from>
    <xdr:to>
      <xdr:col>9</xdr:col>
      <xdr:colOff>525780</xdr:colOff>
      <xdr:row>5</xdr:row>
      <xdr:rowOff>304800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62BC4C77-F5C7-4E52-91BF-19577E6034F0}"/>
            </a:ext>
          </a:extLst>
        </xdr:cNvPr>
        <xdr:cNvSpPr/>
      </xdr:nvSpPr>
      <xdr:spPr>
        <a:xfrm>
          <a:off x="1335786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106680</xdr:colOff>
      <xdr:row>6</xdr:row>
      <xdr:rowOff>350520</xdr:rowOff>
    </xdr:from>
    <xdr:to>
      <xdr:col>10</xdr:col>
      <xdr:colOff>1112520</xdr:colOff>
      <xdr:row>6</xdr:row>
      <xdr:rowOff>350520</xdr:rowOff>
    </xdr:to>
    <xdr:sp macro="" textlink="">
      <xdr:nvSpPr>
        <xdr:cNvPr id="55" name="Line 135">
          <a:extLst>
            <a:ext uri="{FF2B5EF4-FFF2-40B4-BE49-F238E27FC236}">
              <a16:creationId xmlns:a16="http://schemas.microsoft.com/office/drawing/2014/main" id="{B60D3025-8FE6-4703-854F-69073BA5D9FA}"/>
            </a:ext>
          </a:extLst>
        </xdr:cNvPr>
        <xdr:cNvSpPr>
          <a:spLocks noChangeShapeType="1"/>
        </xdr:cNvSpPr>
      </xdr:nvSpPr>
      <xdr:spPr bwMode="auto">
        <a:xfrm>
          <a:off x="13228320" y="2392680"/>
          <a:ext cx="2270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6</xdr:row>
      <xdr:rowOff>358140</xdr:rowOff>
    </xdr:from>
    <xdr:to>
      <xdr:col>10</xdr:col>
      <xdr:colOff>7620</xdr:colOff>
      <xdr:row>8</xdr:row>
      <xdr:rowOff>38100</xdr:rowOff>
    </xdr:to>
    <xdr:sp macro="" textlink="">
      <xdr:nvSpPr>
        <xdr:cNvPr id="56" name="Line 142">
          <a:extLst>
            <a:ext uri="{FF2B5EF4-FFF2-40B4-BE49-F238E27FC236}">
              <a16:creationId xmlns:a16="http://schemas.microsoft.com/office/drawing/2014/main" id="{1547D7A3-7F42-40B9-A142-5883D1691DEB}"/>
            </a:ext>
          </a:extLst>
        </xdr:cNvPr>
        <xdr:cNvSpPr>
          <a:spLocks noChangeShapeType="1"/>
        </xdr:cNvSpPr>
      </xdr:nvSpPr>
      <xdr:spPr bwMode="auto">
        <a:xfrm>
          <a:off x="14394180" y="2400300"/>
          <a:ext cx="0" cy="434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213360</xdr:colOff>
      <xdr:row>7</xdr:row>
      <xdr:rowOff>15240</xdr:rowOff>
    </xdr:from>
    <xdr:to>
      <xdr:col>9</xdr:col>
      <xdr:colOff>502920</xdr:colOff>
      <xdr:row>7</xdr:row>
      <xdr:rowOff>297180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E52F3256-2F53-469F-B372-BF5C6330DADC}"/>
            </a:ext>
          </a:extLst>
        </xdr:cNvPr>
        <xdr:cNvSpPr/>
      </xdr:nvSpPr>
      <xdr:spPr>
        <a:xfrm>
          <a:off x="1333500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106680</xdr:colOff>
      <xdr:row>8</xdr:row>
      <xdr:rowOff>304800</xdr:rowOff>
    </xdr:from>
    <xdr:to>
      <xdr:col>10</xdr:col>
      <xdr:colOff>1127760</xdr:colOff>
      <xdr:row>9</xdr:row>
      <xdr:rowOff>7620</xdr:rowOff>
    </xdr:to>
    <xdr:sp macro="" textlink="">
      <xdr:nvSpPr>
        <xdr:cNvPr id="58" name="Line 135">
          <a:extLst>
            <a:ext uri="{FF2B5EF4-FFF2-40B4-BE49-F238E27FC236}">
              <a16:creationId xmlns:a16="http://schemas.microsoft.com/office/drawing/2014/main" id="{60F98792-BAA2-4456-8BB0-170955EC2BCF}"/>
            </a:ext>
          </a:extLst>
        </xdr:cNvPr>
        <xdr:cNvSpPr>
          <a:spLocks noChangeShapeType="1"/>
        </xdr:cNvSpPr>
      </xdr:nvSpPr>
      <xdr:spPr bwMode="auto">
        <a:xfrm>
          <a:off x="13228320" y="310134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9</xdr:row>
      <xdr:rowOff>0</xdr:rowOff>
    </xdr:from>
    <xdr:to>
      <xdr:col>10</xdr:col>
      <xdr:colOff>7620</xdr:colOff>
      <xdr:row>10</xdr:row>
      <xdr:rowOff>68580</xdr:rowOff>
    </xdr:to>
    <xdr:sp macro="" textlink="">
      <xdr:nvSpPr>
        <xdr:cNvPr id="59" name="Line 142">
          <a:extLst>
            <a:ext uri="{FF2B5EF4-FFF2-40B4-BE49-F238E27FC236}">
              <a16:creationId xmlns:a16="http://schemas.microsoft.com/office/drawing/2014/main" id="{8381DF80-D540-42B3-98B1-93D63F80DA86}"/>
            </a:ext>
          </a:extLst>
        </xdr:cNvPr>
        <xdr:cNvSpPr>
          <a:spLocks noChangeShapeType="1"/>
        </xdr:cNvSpPr>
      </xdr:nvSpPr>
      <xdr:spPr bwMode="auto">
        <a:xfrm>
          <a:off x="14394180" y="310896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236220</xdr:colOff>
      <xdr:row>9</xdr:row>
      <xdr:rowOff>22860</xdr:rowOff>
    </xdr:from>
    <xdr:to>
      <xdr:col>9</xdr:col>
      <xdr:colOff>525780</xdr:colOff>
      <xdr:row>9</xdr:row>
      <xdr:rowOff>304800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8C8B9FCE-3B82-4C18-9313-23D50A0F94E7}"/>
            </a:ext>
          </a:extLst>
        </xdr:cNvPr>
        <xdr:cNvSpPr/>
      </xdr:nvSpPr>
      <xdr:spPr>
        <a:xfrm>
          <a:off x="13357860" y="31318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8</xdr:col>
      <xdr:colOff>0</xdr:colOff>
      <xdr:row>5</xdr:row>
      <xdr:rowOff>7620</xdr:rowOff>
    </xdr:from>
    <xdr:to>
      <xdr:col>8</xdr:col>
      <xdr:colOff>0</xdr:colOff>
      <xdr:row>6</xdr:row>
      <xdr:rowOff>22860</xdr:rowOff>
    </xdr:to>
    <xdr:sp macro="" textlink="">
      <xdr:nvSpPr>
        <xdr:cNvPr id="61" name="Line 70">
          <a:extLst>
            <a:ext uri="{FF2B5EF4-FFF2-40B4-BE49-F238E27FC236}">
              <a16:creationId xmlns:a16="http://schemas.microsoft.com/office/drawing/2014/main" id="{1770FF4C-A12D-483A-9A4F-E87410CE33AA}"/>
            </a:ext>
          </a:extLst>
        </xdr:cNvPr>
        <xdr:cNvSpPr>
          <a:spLocks noChangeShapeType="1"/>
        </xdr:cNvSpPr>
      </xdr:nvSpPr>
      <xdr:spPr bwMode="auto">
        <a:xfrm>
          <a:off x="11658600" y="1638300"/>
          <a:ext cx="0" cy="426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160020</xdr:colOff>
      <xdr:row>4</xdr:row>
      <xdr:rowOff>289560</xdr:rowOff>
    </xdr:from>
    <xdr:to>
      <xdr:col>8</xdr:col>
      <xdr:colOff>1287780</xdr:colOff>
      <xdr:row>4</xdr:row>
      <xdr:rowOff>289560</xdr:rowOff>
    </xdr:to>
    <xdr:sp macro="" textlink="">
      <xdr:nvSpPr>
        <xdr:cNvPr id="62" name="Line 125">
          <a:extLst>
            <a:ext uri="{FF2B5EF4-FFF2-40B4-BE49-F238E27FC236}">
              <a16:creationId xmlns:a16="http://schemas.microsoft.com/office/drawing/2014/main" id="{A77B193E-7632-435D-8776-817666975FA5}"/>
            </a:ext>
          </a:extLst>
        </xdr:cNvPr>
        <xdr:cNvSpPr>
          <a:spLocks noChangeShapeType="1"/>
        </xdr:cNvSpPr>
      </xdr:nvSpPr>
      <xdr:spPr bwMode="auto">
        <a:xfrm>
          <a:off x="10500360" y="16154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</xdr:row>
      <xdr:rowOff>15240</xdr:rowOff>
    </xdr:from>
    <xdr:to>
      <xdr:col>8</xdr:col>
      <xdr:colOff>7620</xdr:colOff>
      <xdr:row>8</xdr:row>
      <xdr:rowOff>22860</xdr:rowOff>
    </xdr:to>
    <xdr:sp macro="" textlink="">
      <xdr:nvSpPr>
        <xdr:cNvPr id="63" name="Line 70">
          <a:extLst>
            <a:ext uri="{FF2B5EF4-FFF2-40B4-BE49-F238E27FC236}">
              <a16:creationId xmlns:a16="http://schemas.microsoft.com/office/drawing/2014/main" id="{CFCA85A7-BE19-4B54-9591-9DF5ED27EF2C}"/>
            </a:ext>
          </a:extLst>
        </xdr:cNvPr>
        <xdr:cNvSpPr>
          <a:spLocks noChangeShapeType="1"/>
        </xdr:cNvSpPr>
      </xdr:nvSpPr>
      <xdr:spPr bwMode="auto">
        <a:xfrm>
          <a:off x="11658600" y="243078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160020</xdr:colOff>
      <xdr:row>6</xdr:row>
      <xdr:rowOff>365760</xdr:rowOff>
    </xdr:from>
    <xdr:to>
      <xdr:col>8</xdr:col>
      <xdr:colOff>1287780</xdr:colOff>
      <xdr:row>6</xdr:row>
      <xdr:rowOff>365760</xdr:rowOff>
    </xdr:to>
    <xdr:sp macro="" textlink="">
      <xdr:nvSpPr>
        <xdr:cNvPr id="64" name="Line 125">
          <a:extLst>
            <a:ext uri="{FF2B5EF4-FFF2-40B4-BE49-F238E27FC236}">
              <a16:creationId xmlns:a16="http://schemas.microsoft.com/office/drawing/2014/main" id="{F4EC836B-AE4E-43AB-A2F6-12BE7F178514}"/>
            </a:ext>
          </a:extLst>
        </xdr:cNvPr>
        <xdr:cNvSpPr>
          <a:spLocks noChangeShapeType="1"/>
        </xdr:cNvSpPr>
      </xdr:nvSpPr>
      <xdr:spPr bwMode="auto">
        <a:xfrm>
          <a:off x="10500360" y="24079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</xdr:row>
      <xdr:rowOff>15240</xdr:rowOff>
    </xdr:from>
    <xdr:to>
      <xdr:col>8</xdr:col>
      <xdr:colOff>7620</xdr:colOff>
      <xdr:row>10</xdr:row>
      <xdr:rowOff>53340</xdr:rowOff>
    </xdr:to>
    <xdr:sp macro="" textlink="">
      <xdr:nvSpPr>
        <xdr:cNvPr id="65" name="Line 70">
          <a:extLst>
            <a:ext uri="{FF2B5EF4-FFF2-40B4-BE49-F238E27FC236}">
              <a16:creationId xmlns:a16="http://schemas.microsoft.com/office/drawing/2014/main" id="{A3316E31-7490-4507-B823-E62086A6B058}"/>
            </a:ext>
          </a:extLst>
        </xdr:cNvPr>
        <xdr:cNvSpPr>
          <a:spLocks noChangeShapeType="1"/>
        </xdr:cNvSpPr>
      </xdr:nvSpPr>
      <xdr:spPr bwMode="auto">
        <a:xfrm>
          <a:off x="11658600" y="3124200"/>
          <a:ext cx="7620" cy="388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9</xdr:row>
      <xdr:rowOff>22860</xdr:rowOff>
    </xdr:from>
    <xdr:to>
      <xdr:col>8</xdr:col>
      <xdr:colOff>1280160</xdr:colOff>
      <xdr:row>9</xdr:row>
      <xdr:rowOff>22860</xdr:rowOff>
    </xdr:to>
    <xdr:sp macro="" textlink="">
      <xdr:nvSpPr>
        <xdr:cNvPr id="66" name="Line 125">
          <a:extLst>
            <a:ext uri="{FF2B5EF4-FFF2-40B4-BE49-F238E27FC236}">
              <a16:creationId xmlns:a16="http://schemas.microsoft.com/office/drawing/2014/main" id="{2ED477E0-62C7-4AF2-AD2C-73C4D90BE9E8}"/>
            </a:ext>
          </a:extLst>
        </xdr:cNvPr>
        <xdr:cNvSpPr>
          <a:spLocks noChangeShapeType="1"/>
        </xdr:cNvSpPr>
      </xdr:nvSpPr>
      <xdr:spPr bwMode="auto">
        <a:xfrm>
          <a:off x="10492740" y="31318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800100</xdr:colOff>
      <xdr:row>5</xdr:row>
      <xdr:rowOff>22860</xdr:rowOff>
    </xdr:from>
    <xdr:to>
      <xdr:col>8</xdr:col>
      <xdr:colOff>1089660</xdr:colOff>
      <xdr:row>5</xdr:row>
      <xdr:rowOff>304800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579FF453-B661-43C2-9633-6E562E9B549F}"/>
            </a:ext>
          </a:extLst>
        </xdr:cNvPr>
        <xdr:cNvSpPr/>
      </xdr:nvSpPr>
      <xdr:spPr>
        <a:xfrm>
          <a:off x="12458700" y="165354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800100</xdr:colOff>
      <xdr:row>3</xdr:row>
      <xdr:rowOff>358140</xdr:rowOff>
    </xdr:from>
    <xdr:to>
      <xdr:col>4</xdr:col>
      <xdr:colOff>1127760</xdr:colOff>
      <xdr:row>4</xdr:row>
      <xdr:rowOff>274320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5897AFEA-C4FD-478A-905B-0B0B020B92A1}"/>
            </a:ext>
          </a:extLst>
        </xdr:cNvPr>
        <xdr:cNvSpPr/>
      </xdr:nvSpPr>
      <xdr:spPr>
        <a:xfrm>
          <a:off x="7322820" y="1295400"/>
          <a:ext cx="327660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99060</xdr:colOff>
      <xdr:row>10</xdr:row>
      <xdr:rowOff>312420</xdr:rowOff>
    </xdr:from>
    <xdr:to>
      <xdr:col>10</xdr:col>
      <xdr:colOff>1120140</xdr:colOff>
      <xdr:row>10</xdr:row>
      <xdr:rowOff>327660</xdr:rowOff>
    </xdr:to>
    <xdr:sp macro="" textlink="">
      <xdr:nvSpPr>
        <xdr:cNvPr id="69" name="Line 135">
          <a:extLst>
            <a:ext uri="{FF2B5EF4-FFF2-40B4-BE49-F238E27FC236}">
              <a16:creationId xmlns:a16="http://schemas.microsoft.com/office/drawing/2014/main" id="{6F5C50BA-0053-409A-9A84-D3C818D2169A}"/>
            </a:ext>
          </a:extLst>
        </xdr:cNvPr>
        <xdr:cNvSpPr>
          <a:spLocks noChangeShapeType="1"/>
        </xdr:cNvSpPr>
      </xdr:nvSpPr>
      <xdr:spPr bwMode="auto">
        <a:xfrm>
          <a:off x="13220700" y="377190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10</xdr:row>
      <xdr:rowOff>320040</xdr:rowOff>
    </xdr:from>
    <xdr:to>
      <xdr:col>10</xdr:col>
      <xdr:colOff>0</xdr:colOff>
      <xdr:row>12</xdr:row>
      <xdr:rowOff>45720</xdr:rowOff>
    </xdr:to>
    <xdr:sp macro="" textlink="">
      <xdr:nvSpPr>
        <xdr:cNvPr id="70" name="Line 142">
          <a:extLst>
            <a:ext uri="{FF2B5EF4-FFF2-40B4-BE49-F238E27FC236}">
              <a16:creationId xmlns:a16="http://schemas.microsoft.com/office/drawing/2014/main" id="{45A476AC-B55B-434E-A94F-44D0788920C3}"/>
            </a:ext>
          </a:extLst>
        </xdr:cNvPr>
        <xdr:cNvSpPr>
          <a:spLocks noChangeShapeType="1"/>
        </xdr:cNvSpPr>
      </xdr:nvSpPr>
      <xdr:spPr bwMode="auto">
        <a:xfrm>
          <a:off x="14386560" y="377952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800100</xdr:colOff>
      <xdr:row>9</xdr:row>
      <xdr:rowOff>22860</xdr:rowOff>
    </xdr:from>
    <xdr:to>
      <xdr:col>8</xdr:col>
      <xdr:colOff>1089660</xdr:colOff>
      <xdr:row>9</xdr:row>
      <xdr:rowOff>304800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BCDC6301-3BAE-4BC0-BC15-A717A97FDB30}"/>
            </a:ext>
          </a:extLst>
        </xdr:cNvPr>
        <xdr:cNvSpPr/>
      </xdr:nvSpPr>
      <xdr:spPr>
        <a:xfrm>
          <a:off x="12458700" y="31318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</xdr:col>
      <xdr:colOff>144780</xdr:colOff>
      <xdr:row>4</xdr:row>
      <xdr:rowOff>22860</xdr:rowOff>
    </xdr:from>
    <xdr:to>
      <xdr:col>3</xdr:col>
      <xdr:colOff>434340</xdr:colOff>
      <xdr:row>4</xdr:row>
      <xdr:rowOff>289560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27B9F8C3-C8EA-4DD3-836A-3F4E85E3A868}"/>
            </a:ext>
          </a:extLst>
        </xdr:cNvPr>
        <xdr:cNvSpPr/>
      </xdr:nvSpPr>
      <xdr:spPr>
        <a:xfrm>
          <a:off x="5364480" y="134874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800100</xdr:colOff>
      <xdr:row>7</xdr:row>
      <xdr:rowOff>7620</xdr:rowOff>
    </xdr:from>
    <xdr:to>
      <xdr:col>8</xdr:col>
      <xdr:colOff>1089660</xdr:colOff>
      <xdr:row>7</xdr:row>
      <xdr:rowOff>289560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809E454C-4714-41A4-B4D4-2F66EEDD139A}"/>
            </a:ext>
          </a:extLst>
        </xdr:cNvPr>
        <xdr:cNvSpPr/>
      </xdr:nvSpPr>
      <xdr:spPr>
        <a:xfrm>
          <a:off x="12458700" y="242316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7620</xdr:colOff>
      <xdr:row>7</xdr:row>
      <xdr:rowOff>22860</xdr:rowOff>
    </xdr:from>
    <xdr:to>
      <xdr:col>8</xdr:col>
      <xdr:colOff>7620</xdr:colOff>
      <xdr:row>7</xdr:row>
      <xdr:rowOff>373380</xdr:rowOff>
    </xdr:to>
    <xdr:sp macro="" textlink="">
      <xdr:nvSpPr>
        <xdr:cNvPr id="74" name="Line 70">
          <a:extLst>
            <a:ext uri="{FF2B5EF4-FFF2-40B4-BE49-F238E27FC236}">
              <a16:creationId xmlns:a16="http://schemas.microsoft.com/office/drawing/2014/main" id="{0825D575-DD88-41E3-A85B-7CAB85C7A17D}"/>
            </a:ext>
          </a:extLst>
        </xdr:cNvPr>
        <xdr:cNvSpPr>
          <a:spLocks noChangeShapeType="1"/>
        </xdr:cNvSpPr>
      </xdr:nvSpPr>
      <xdr:spPr bwMode="auto">
        <a:xfrm flipH="1">
          <a:off x="11666220" y="243840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266700</xdr:colOff>
      <xdr:row>7</xdr:row>
      <xdr:rowOff>15240</xdr:rowOff>
    </xdr:from>
    <xdr:to>
      <xdr:col>7</xdr:col>
      <xdr:colOff>556260</xdr:colOff>
      <xdr:row>7</xdr:row>
      <xdr:rowOff>297180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EC8BE2E7-A899-4B6B-B89D-29E43D821963}"/>
            </a:ext>
          </a:extLst>
        </xdr:cNvPr>
        <xdr:cNvSpPr/>
      </xdr:nvSpPr>
      <xdr:spPr>
        <a:xfrm>
          <a:off x="10607040" y="243078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800100</xdr:colOff>
      <xdr:row>5</xdr:row>
      <xdr:rowOff>7620</xdr:rowOff>
    </xdr:from>
    <xdr:to>
      <xdr:col>4</xdr:col>
      <xdr:colOff>1143000</xdr:colOff>
      <xdr:row>5</xdr:row>
      <xdr:rowOff>320040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F4B3DEB1-8D69-4F26-9851-366BFD7B5485}"/>
            </a:ext>
          </a:extLst>
        </xdr:cNvPr>
        <xdr:cNvSpPr/>
      </xdr:nvSpPr>
      <xdr:spPr>
        <a:xfrm>
          <a:off x="7322820" y="1638300"/>
          <a:ext cx="342900" cy="31242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236220</xdr:colOff>
      <xdr:row>11</xdr:row>
      <xdr:rowOff>22860</xdr:rowOff>
    </xdr:from>
    <xdr:to>
      <xdr:col>9</xdr:col>
      <xdr:colOff>525780</xdr:colOff>
      <xdr:row>11</xdr:row>
      <xdr:rowOff>304800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D03D4C9E-A8E6-42DA-B447-5FE1E14E6E23}"/>
            </a:ext>
          </a:extLst>
        </xdr:cNvPr>
        <xdr:cNvSpPr/>
      </xdr:nvSpPr>
      <xdr:spPr>
        <a:xfrm>
          <a:off x="13357860" y="38176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106680</xdr:colOff>
      <xdr:row>12</xdr:row>
      <xdr:rowOff>327660</xdr:rowOff>
    </xdr:from>
    <xdr:to>
      <xdr:col>10</xdr:col>
      <xdr:colOff>1127760</xdr:colOff>
      <xdr:row>13</xdr:row>
      <xdr:rowOff>0</xdr:rowOff>
    </xdr:to>
    <xdr:sp macro="" textlink="">
      <xdr:nvSpPr>
        <xdr:cNvPr id="78" name="Line 135">
          <a:extLst>
            <a:ext uri="{FF2B5EF4-FFF2-40B4-BE49-F238E27FC236}">
              <a16:creationId xmlns:a16="http://schemas.microsoft.com/office/drawing/2014/main" id="{4894C87F-E179-4854-B855-CC4234468249}"/>
            </a:ext>
          </a:extLst>
        </xdr:cNvPr>
        <xdr:cNvSpPr>
          <a:spLocks noChangeShapeType="1"/>
        </xdr:cNvSpPr>
      </xdr:nvSpPr>
      <xdr:spPr bwMode="auto">
        <a:xfrm>
          <a:off x="13228320" y="448056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12</xdr:row>
      <xdr:rowOff>335280</xdr:rowOff>
    </xdr:from>
    <xdr:to>
      <xdr:col>10</xdr:col>
      <xdr:colOff>7620</xdr:colOff>
      <xdr:row>14</xdr:row>
      <xdr:rowOff>45720</xdr:rowOff>
    </xdr:to>
    <xdr:sp macro="" textlink="">
      <xdr:nvSpPr>
        <xdr:cNvPr id="79" name="Line 142">
          <a:extLst>
            <a:ext uri="{FF2B5EF4-FFF2-40B4-BE49-F238E27FC236}">
              <a16:creationId xmlns:a16="http://schemas.microsoft.com/office/drawing/2014/main" id="{B3BD6914-0897-442F-BB46-4BB654C7B582}"/>
            </a:ext>
          </a:extLst>
        </xdr:cNvPr>
        <xdr:cNvSpPr>
          <a:spLocks noChangeShapeType="1"/>
        </xdr:cNvSpPr>
      </xdr:nvSpPr>
      <xdr:spPr bwMode="auto">
        <a:xfrm flipH="1">
          <a:off x="14394180" y="4488180"/>
          <a:ext cx="0" cy="449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144780</xdr:colOff>
      <xdr:row>8</xdr:row>
      <xdr:rowOff>304800</xdr:rowOff>
    </xdr:from>
    <xdr:to>
      <xdr:col>6</xdr:col>
      <xdr:colOff>1104900</xdr:colOff>
      <xdr:row>8</xdr:row>
      <xdr:rowOff>304800</xdr:rowOff>
    </xdr:to>
    <xdr:sp macro="" textlink="">
      <xdr:nvSpPr>
        <xdr:cNvPr id="80" name="Line 97">
          <a:extLst>
            <a:ext uri="{FF2B5EF4-FFF2-40B4-BE49-F238E27FC236}">
              <a16:creationId xmlns:a16="http://schemas.microsoft.com/office/drawing/2014/main" id="{EAA56065-4DD2-4F4D-84B7-8B738497803E}"/>
            </a:ext>
          </a:extLst>
        </xdr:cNvPr>
        <xdr:cNvSpPr>
          <a:spLocks noChangeShapeType="1"/>
        </xdr:cNvSpPr>
      </xdr:nvSpPr>
      <xdr:spPr bwMode="auto">
        <a:xfrm flipV="1">
          <a:off x="8069580" y="3101340"/>
          <a:ext cx="2125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8</xdr:row>
      <xdr:rowOff>304800</xdr:rowOff>
    </xdr:from>
    <xdr:to>
      <xdr:col>6</xdr:col>
      <xdr:colOff>7620</xdr:colOff>
      <xdr:row>10</xdr:row>
      <xdr:rowOff>53340</xdr:rowOff>
    </xdr:to>
    <xdr:sp macro="" textlink="">
      <xdr:nvSpPr>
        <xdr:cNvPr id="81" name="Line 98">
          <a:extLst>
            <a:ext uri="{FF2B5EF4-FFF2-40B4-BE49-F238E27FC236}">
              <a16:creationId xmlns:a16="http://schemas.microsoft.com/office/drawing/2014/main" id="{12B38A90-6D86-43F6-8811-AC49087642A9}"/>
            </a:ext>
          </a:extLst>
        </xdr:cNvPr>
        <xdr:cNvSpPr>
          <a:spLocks noChangeShapeType="1"/>
        </xdr:cNvSpPr>
      </xdr:nvSpPr>
      <xdr:spPr bwMode="auto">
        <a:xfrm>
          <a:off x="9098280" y="310134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137160</xdr:colOff>
      <xdr:row>11</xdr:row>
      <xdr:rowOff>0</xdr:rowOff>
    </xdr:from>
    <xdr:to>
      <xdr:col>6</xdr:col>
      <xdr:colOff>1097280</xdr:colOff>
      <xdr:row>11</xdr:row>
      <xdr:rowOff>0</xdr:rowOff>
    </xdr:to>
    <xdr:sp macro="" textlink="">
      <xdr:nvSpPr>
        <xdr:cNvPr id="82" name="Line 97">
          <a:extLst>
            <a:ext uri="{FF2B5EF4-FFF2-40B4-BE49-F238E27FC236}">
              <a16:creationId xmlns:a16="http://schemas.microsoft.com/office/drawing/2014/main" id="{DA7A9E8B-AEE6-4E07-967B-338475CF2285}"/>
            </a:ext>
          </a:extLst>
        </xdr:cNvPr>
        <xdr:cNvSpPr>
          <a:spLocks noChangeShapeType="1"/>
        </xdr:cNvSpPr>
      </xdr:nvSpPr>
      <xdr:spPr bwMode="auto">
        <a:xfrm flipV="1">
          <a:off x="8061960" y="3794760"/>
          <a:ext cx="2125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12</xdr:row>
      <xdr:rowOff>53340</xdr:rowOff>
    </xdr:to>
    <xdr:sp macro="" textlink="">
      <xdr:nvSpPr>
        <xdr:cNvPr id="83" name="Line 98">
          <a:extLst>
            <a:ext uri="{FF2B5EF4-FFF2-40B4-BE49-F238E27FC236}">
              <a16:creationId xmlns:a16="http://schemas.microsoft.com/office/drawing/2014/main" id="{1DD0E6E7-6191-498A-9159-3D34BBDE8EDA}"/>
            </a:ext>
          </a:extLst>
        </xdr:cNvPr>
        <xdr:cNvSpPr>
          <a:spLocks noChangeShapeType="1"/>
        </xdr:cNvSpPr>
      </xdr:nvSpPr>
      <xdr:spPr bwMode="auto">
        <a:xfrm>
          <a:off x="9090660" y="379476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15</xdr:row>
      <xdr:rowOff>7620</xdr:rowOff>
    </xdr:from>
    <xdr:to>
      <xdr:col>10</xdr:col>
      <xdr:colOff>1127760</xdr:colOff>
      <xdr:row>15</xdr:row>
      <xdr:rowOff>22860</xdr:rowOff>
    </xdr:to>
    <xdr:sp macro="" textlink="">
      <xdr:nvSpPr>
        <xdr:cNvPr id="84" name="Line 135">
          <a:extLst>
            <a:ext uri="{FF2B5EF4-FFF2-40B4-BE49-F238E27FC236}">
              <a16:creationId xmlns:a16="http://schemas.microsoft.com/office/drawing/2014/main" id="{DB09592C-E1FE-4146-A848-467BC3CFD4CF}"/>
            </a:ext>
          </a:extLst>
        </xdr:cNvPr>
        <xdr:cNvSpPr>
          <a:spLocks noChangeShapeType="1"/>
        </xdr:cNvSpPr>
      </xdr:nvSpPr>
      <xdr:spPr bwMode="auto">
        <a:xfrm>
          <a:off x="13228320" y="5227320"/>
          <a:ext cx="22860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15</xdr:row>
      <xdr:rowOff>15240</xdr:rowOff>
    </xdr:from>
    <xdr:to>
      <xdr:col>10</xdr:col>
      <xdr:colOff>7620</xdr:colOff>
      <xdr:row>16</xdr:row>
      <xdr:rowOff>106680</xdr:rowOff>
    </xdr:to>
    <xdr:sp macro="" textlink="">
      <xdr:nvSpPr>
        <xdr:cNvPr id="85" name="Line 142">
          <a:extLst>
            <a:ext uri="{FF2B5EF4-FFF2-40B4-BE49-F238E27FC236}">
              <a16:creationId xmlns:a16="http://schemas.microsoft.com/office/drawing/2014/main" id="{F0D9642B-83A2-45B4-B24E-107F128BC212}"/>
            </a:ext>
          </a:extLst>
        </xdr:cNvPr>
        <xdr:cNvSpPr>
          <a:spLocks noChangeShapeType="1"/>
        </xdr:cNvSpPr>
      </xdr:nvSpPr>
      <xdr:spPr bwMode="auto">
        <a:xfrm>
          <a:off x="14394180" y="523494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243840</xdr:colOff>
      <xdr:row>15</xdr:row>
      <xdr:rowOff>45720</xdr:rowOff>
    </xdr:from>
    <xdr:to>
      <xdr:col>9</xdr:col>
      <xdr:colOff>533400</xdr:colOff>
      <xdr:row>16</xdr:row>
      <xdr:rowOff>0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5547CAB5-A0D5-458C-AF2E-A1A712A99CC0}"/>
            </a:ext>
          </a:extLst>
        </xdr:cNvPr>
        <xdr:cNvSpPr/>
      </xdr:nvSpPr>
      <xdr:spPr>
        <a:xfrm>
          <a:off x="13365480" y="5265420"/>
          <a:ext cx="289560" cy="2819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8</xdr:col>
      <xdr:colOff>15240</xdr:colOff>
      <xdr:row>13</xdr:row>
      <xdr:rowOff>0</xdr:rowOff>
    </xdr:from>
    <xdr:to>
      <xdr:col>8</xdr:col>
      <xdr:colOff>15240</xdr:colOff>
      <xdr:row>14</xdr:row>
      <xdr:rowOff>7620</xdr:rowOff>
    </xdr:to>
    <xdr:sp macro="" textlink="">
      <xdr:nvSpPr>
        <xdr:cNvPr id="87" name="Line 70">
          <a:extLst>
            <a:ext uri="{FF2B5EF4-FFF2-40B4-BE49-F238E27FC236}">
              <a16:creationId xmlns:a16="http://schemas.microsoft.com/office/drawing/2014/main" id="{211A4953-A96D-4E13-B47F-710B348FC0BF}"/>
            </a:ext>
          </a:extLst>
        </xdr:cNvPr>
        <xdr:cNvSpPr>
          <a:spLocks noChangeShapeType="1"/>
        </xdr:cNvSpPr>
      </xdr:nvSpPr>
      <xdr:spPr bwMode="auto">
        <a:xfrm>
          <a:off x="11673840" y="4495800"/>
          <a:ext cx="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167640</xdr:colOff>
      <xdr:row>13</xdr:row>
      <xdr:rowOff>7620</xdr:rowOff>
    </xdr:from>
    <xdr:to>
      <xdr:col>8</xdr:col>
      <xdr:colOff>1295400</xdr:colOff>
      <xdr:row>13</xdr:row>
      <xdr:rowOff>7620</xdr:rowOff>
    </xdr:to>
    <xdr:sp macro="" textlink="">
      <xdr:nvSpPr>
        <xdr:cNvPr id="88" name="Line 125">
          <a:extLst>
            <a:ext uri="{FF2B5EF4-FFF2-40B4-BE49-F238E27FC236}">
              <a16:creationId xmlns:a16="http://schemas.microsoft.com/office/drawing/2014/main" id="{A18A32AE-5BF2-455E-BF38-FEF520E2B04B}"/>
            </a:ext>
          </a:extLst>
        </xdr:cNvPr>
        <xdr:cNvSpPr>
          <a:spLocks noChangeShapeType="1"/>
        </xdr:cNvSpPr>
      </xdr:nvSpPr>
      <xdr:spPr bwMode="auto">
        <a:xfrm>
          <a:off x="10507980" y="45034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775855</xdr:colOff>
      <xdr:row>11</xdr:row>
      <xdr:rowOff>62345</xdr:rowOff>
    </xdr:from>
    <xdr:to>
      <xdr:col>4</xdr:col>
      <xdr:colOff>821574</xdr:colOff>
      <xdr:row>11</xdr:row>
      <xdr:rowOff>381000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A757C445-611E-4B75-89B4-8E567EF1D5F0}"/>
            </a:ext>
          </a:extLst>
        </xdr:cNvPr>
        <xdr:cNvSpPr/>
      </xdr:nvSpPr>
      <xdr:spPr>
        <a:xfrm>
          <a:off x="2909455" y="2599805"/>
          <a:ext cx="45719" cy="318655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720436</xdr:colOff>
      <xdr:row>11</xdr:row>
      <xdr:rowOff>62345</xdr:rowOff>
    </xdr:from>
    <xdr:to>
      <xdr:col>6</xdr:col>
      <xdr:colOff>766155</xdr:colOff>
      <xdr:row>11</xdr:row>
      <xdr:rowOff>381000</xdr:rowOff>
    </xdr:to>
    <xdr:sp macro="" textlink="">
      <xdr:nvSpPr>
        <xdr:cNvPr id="3" name="Seta: para Cima 2">
          <a:extLst>
            <a:ext uri="{FF2B5EF4-FFF2-40B4-BE49-F238E27FC236}">
              <a16:creationId xmlns:a16="http://schemas.microsoft.com/office/drawing/2014/main" id="{7399C4A5-443A-403C-A30A-E3638DD8F276}"/>
            </a:ext>
          </a:extLst>
        </xdr:cNvPr>
        <xdr:cNvSpPr/>
      </xdr:nvSpPr>
      <xdr:spPr>
        <a:xfrm>
          <a:off x="4903816" y="2599805"/>
          <a:ext cx="45719" cy="318655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12EB-5002-45A0-9C1F-6B1E8E65FA91}">
  <dimension ref="A1:N16"/>
  <sheetViews>
    <sheetView workbookViewId="0">
      <selection activeCell="A12" sqref="A12"/>
    </sheetView>
  </sheetViews>
  <sheetFormatPr defaultRowHeight="14.4" x14ac:dyDescent="0.3"/>
  <cols>
    <col min="1" max="1" width="23.33203125" customWidth="1"/>
    <col min="2" max="2" width="15" customWidth="1"/>
    <col min="3" max="3" width="28.88671875" customWidth="1"/>
    <col min="4" max="4" width="14.5546875" customWidth="1"/>
    <col min="5" max="5" width="6.5546875" customWidth="1"/>
    <col min="6" max="6" width="36.33203125" customWidth="1"/>
    <col min="7" max="7" width="15.44140625" customWidth="1"/>
  </cols>
  <sheetData>
    <row r="1" spans="1:14" ht="21.6" thickBot="1" x14ac:dyDescent="0.45">
      <c r="A1" s="69" t="s">
        <v>0</v>
      </c>
      <c r="B1" s="69"/>
      <c r="C1" s="69"/>
      <c r="D1" s="1"/>
      <c r="F1" s="70" t="s">
        <v>1</v>
      </c>
      <c r="G1" s="70"/>
    </row>
    <row r="2" spans="1:14" ht="22.2" thickTop="1" thickBot="1" x14ac:dyDescent="0.45">
      <c r="A2" s="3" t="s">
        <v>2</v>
      </c>
      <c r="B2" s="4"/>
      <c r="C2" s="1" t="s">
        <v>3</v>
      </c>
      <c r="D2" s="1"/>
      <c r="F2" s="69" t="s">
        <v>4</v>
      </c>
      <c r="G2" s="69"/>
    </row>
    <row r="3" spans="1:14" ht="30" customHeight="1" thickTop="1" x14ac:dyDescent="0.3">
      <c r="A3" s="45" t="s">
        <v>6</v>
      </c>
      <c r="B3" s="46">
        <f>+B4+B6+B7</f>
        <v>0</v>
      </c>
      <c r="C3" s="47" t="s">
        <v>6</v>
      </c>
      <c r="D3" s="46">
        <f>SUM(D4:D7)</f>
        <v>0</v>
      </c>
      <c r="F3" s="48" t="s">
        <v>7</v>
      </c>
      <c r="G3" s="49"/>
    </row>
    <row r="4" spans="1:14" ht="30.6" customHeight="1" thickBot="1" x14ac:dyDescent="0.35">
      <c r="A4" s="48" t="s">
        <v>9</v>
      </c>
      <c r="B4" s="49"/>
      <c r="C4" s="50" t="s">
        <v>10</v>
      </c>
      <c r="D4" s="49"/>
      <c r="F4" s="48" t="s">
        <v>11</v>
      </c>
      <c r="G4" s="51"/>
    </row>
    <row r="5" spans="1:14" ht="28.2" customHeight="1" x14ac:dyDescent="0.3">
      <c r="A5" s="52"/>
      <c r="B5" s="49"/>
      <c r="C5" s="50" t="s">
        <v>13</v>
      </c>
      <c r="D5" s="49"/>
      <c r="F5" s="53" t="s">
        <v>14</v>
      </c>
      <c r="G5" s="49">
        <f>+G3+G4</f>
        <v>0</v>
      </c>
    </row>
    <row r="6" spans="1:14" ht="37.200000000000003" customHeight="1" x14ac:dyDescent="0.3">
      <c r="A6" s="48" t="s">
        <v>16</v>
      </c>
      <c r="B6" s="49"/>
      <c r="C6" s="50" t="s">
        <v>17</v>
      </c>
      <c r="D6" s="49"/>
      <c r="F6" s="48" t="s">
        <v>18</v>
      </c>
      <c r="G6" s="49"/>
    </row>
    <row r="7" spans="1:14" ht="36" customHeight="1" x14ac:dyDescent="0.3">
      <c r="A7" s="48" t="s">
        <v>20</v>
      </c>
      <c r="B7" s="54"/>
      <c r="C7" s="48" t="s">
        <v>21</v>
      </c>
      <c r="D7" s="49"/>
      <c r="F7" s="48" t="s">
        <v>22</v>
      </c>
      <c r="G7" s="49"/>
    </row>
    <row r="8" spans="1:14" ht="37.200000000000003" customHeight="1" thickBot="1" x14ac:dyDescent="0.35">
      <c r="A8" s="44"/>
      <c r="B8" s="46"/>
      <c r="C8" s="55" t="s">
        <v>24</v>
      </c>
      <c r="D8" s="46">
        <f>+D9</f>
        <v>0</v>
      </c>
      <c r="F8" s="48" t="s">
        <v>25</v>
      </c>
      <c r="G8" s="51"/>
    </row>
    <row r="9" spans="1:14" ht="33" customHeight="1" thickBot="1" x14ac:dyDescent="0.35">
      <c r="A9" s="53" t="s">
        <v>24</v>
      </c>
      <c r="B9" s="46">
        <f>+B10+B11</f>
        <v>0</v>
      </c>
      <c r="C9" s="56" t="s">
        <v>27</v>
      </c>
      <c r="D9" s="57"/>
      <c r="F9" s="53" t="s">
        <v>28</v>
      </c>
      <c r="G9" s="49">
        <f>G5+SUM(G6:G8)</f>
        <v>0</v>
      </c>
    </row>
    <row r="10" spans="1:14" ht="32.25" customHeight="1" thickTop="1" thickBot="1" x14ac:dyDescent="0.35">
      <c r="A10" s="48" t="s">
        <v>30</v>
      </c>
      <c r="B10" s="49"/>
      <c r="C10" s="21" t="s">
        <v>31</v>
      </c>
      <c r="D10" s="22"/>
      <c r="F10" s="48" t="s">
        <v>32</v>
      </c>
      <c r="G10" s="49"/>
    </row>
    <row r="11" spans="1:14" ht="26.4" customHeight="1" thickTop="1" x14ac:dyDescent="0.4">
      <c r="A11" s="48" t="s">
        <v>34</v>
      </c>
      <c r="B11" s="58"/>
      <c r="C11" s="59" t="s">
        <v>35</v>
      </c>
      <c r="D11" s="49"/>
      <c r="F11" s="52"/>
      <c r="G11" s="49"/>
    </row>
    <row r="12" spans="1:14" ht="32.4" customHeight="1" x14ac:dyDescent="0.4">
      <c r="A12" s="60"/>
      <c r="B12" s="58"/>
      <c r="C12" s="50" t="s">
        <v>37</v>
      </c>
      <c r="D12" s="49"/>
      <c r="F12" s="52"/>
      <c r="G12" s="49"/>
      <c r="I12" s="63"/>
      <c r="J12" s="63"/>
      <c r="K12" s="63"/>
      <c r="L12" s="63"/>
      <c r="M12" s="63"/>
      <c r="N12" s="63"/>
    </row>
    <row r="13" spans="1:14" ht="27" customHeight="1" x14ac:dyDescent="0.4">
      <c r="A13" s="60"/>
      <c r="B13" s="61"/>
      <c r="C13" s="44"/>
      <c r="D13" s="52"/>
      <c r="F13" s="52"/>
      <c r="G13" s="49"/>
      <c r="I13" s="63"/>
      <c r="J13" s="63"/>
      <c r="K13" s="63"/>
      <c r="L13" s="63"/>
      <c r="M13" s="63"/>
      <c r="N13" s="63"/>
    </row>
    <row r="14" spans="1:14" ht="21" x14ac:dyDescent="0.4">
      <c r="A14" s="26" t="s">
        <v>38</v>
      </c>
      <c r="B14" s="27">
        <f>+B3+B9</f>
        <v>0</v>
      </c>
      <c r="C14" s="28" t="s">
        <v>39</v>
      </c>
      <c r="D14" s="29">
        <f>+D3+D8+D11+D12</f>
        <v>0</v>
      </c>
      <c r="F14" s="62" t="s">
        <v>40</v>
      </c>
      <c r="G14" s="49">
        <f>+G9+G10</f>
        <v>0</v>
      </c>
      <c r="I14" s="63"/>
      <c r="J14" s="63"/>
      <c r="K14" s="63"/>
      <c r="L14" s="63"/>
      <c r="M14" s="63"/>
      <c r="N14" s="63"/>
    </row>
    <row r="15" spans="1:14" ht="21" x14ac:dyDescent="0.4">
      <c r="A15" s="3"/>
      <c r="D15" s="14"/>
    </row>
    <row r="16" spans="1:14" ht="21" x14ac:dyDescent="0.4">
      <c r="A16" s="3"/>
    </row>
  </sheetData>
  <mergeCells count="3">
    <mergeCell ref="A1:C1"/>
    <mergeCell ref="F1:G1"/>
    <mergeCell ref="F2:G2"/>
  </mergeCells>
  <pageMargins left="0.51181102362204722" right="0.51181102362204722" top="0.39370078740157483" bottom="0.39370078740157483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344B-865F-4446-85A1-B4279A4E96DE}">
  <dimension ref="A1:G16"/>
  <sheetViews>
    <sheetView topLeftCell="A9" workbookViewId="0">
      <selection activeCell="K8" sqref="K8"/>
    </sheetView>
  </sheetViews>
  <sheetFormatPr defaultRowHeight="14.4" x14ac:dyDescent="0.3"/>
  <cols>
    <col min="1" max="1" width="23.33203125" customWidth="1"/>
    <col min="2" max="2" width="15" customWidth="1"/>
    <col min="3" max="3" width="28.88671875" customWidth="1"/>
    <col min="4" max="4" width="14.5546875" customWidth="1"/>
    <col min="5" max="5" width="6.5546875" customWidth="1"/>
    <col min="6" max="6" width="36.33203125" customWidth="1"/>
    <col min="7" max="7" width="15.44140625" customWidth="1"/>
  </cols>
  <sheetData>
    <row r="1" spans="1:7" ht="21.6" thickBot="1" x14ac:dyDescent="0.45">
      <c r="A1" s="69" t="s">
        <v>0</v>
      </c>
      <c r="B1" s="69"/>
      <c r="C1" s="69"/>
      <c r="D1" s="1"/>
      <c r="F1" s="70" t="s">
        <v>1</v>
      </c>
      <c r="G1" s="70"/>
    </row>
    <row r="2" spans="1:7" ht="22.2" thickTop="1" thickBot="1" x14ac:dyDescent="0.45">
      <c r="A2" s="3" t="s">
        <v>2</v>
      </c>
      <c r="B2" s="4"/>
      <c r="C2" s="1" t="s">
        <v>3</v>
      </c>
      <c r="D2" s="1"/>
      <c r="F2" s="69" t="s">
        <v>4</v>
      </c>
      <c r="G2" s="69"/>
    </row>
    <row r="3" spans="1:7" ht="30" customHeight="1" thickTop="1" x14ac:dyDescent="0.3">
      <c r="A3" s="5" t="s">
        <v>6</v>
      </c>
      <c r="B3" s="6">
        <f>+B4+B6+B7</f>
        <v>0</v>
      </c>
      <c r="C3" s="7" t="s">
        <v>6</v>
      </c>
      <c r="D3" s="6">
        <f>SUM(D4:D7)</f>
        <v>0</v>
      </c>
      <c r="F3" s="8" t="s">
        <v>7</v>
      </c>
      <c r="G3" s="9"/>
    </row>
    <row r="4" spans="1:7" ht="30.6" customHeight="1" thickBot="1" x14ac:dyDescent="0.35">
      <c r="A4" s="8" t="s">
        <v>9</v>
      </c>
      <c r="B4" s="9"/>
      <c r="C4" s="12" t="s">
        <v>10</v>
      </c>
      <c r="D4" s="9"/>
      <c r="F4" s="8" t="s">
        <v>11</v>
      </c>
      <c r="G4" s="13"/>
    </row>
    <row r="5" spans="1:7" ht="28.2" customHeight="1" x14ac:dyDescent="0.3">
      <c r="A5" s="15"/>
      <c r="B5" s="9"/>
      <c r="C5" s="12" t="s">
        <v>13</v>
      </c>
      <c r="D5" s="9"/>
      <c r="F5" s="16" t="s">
        <v>14</v>
      </c>
      <c r="G5" s="9">
        <f>+G3+G4</f>
        <v>0</v>
      </c>
    </row>
    <row r="6" spans="1:7" ht="37.200000000000003" customHeight="1" x14ac:dyDescent="0.3">
      <c r="A6" s="8" t="s">
        <v>16</v>
      </c>
      <c r="B6" s="9"/>
      <c r="C6" s="12" t="s">
        <v>17</v>
      </c>
      <c r="D6" s="9"/>
      <c r="F6" s="8" t="s">
        <v>18</v>
      </c>
      <c r="G6" s="9"/>
    </row>
    <row r="7" spans="1:7" ht="36" customHeight="1" x14ac:dyDescent="0.3">
      <c r="A7" s="8" t="s">
        <v>20</v>
      </c>
      <c r="B7" s="17"/>
      <c r="C7" s="8" t="s">
        <v>21</v>
      </c>
      <c r="D7" s="9"/>
      <c r="F7" s="8" t="s">
        <v>22</v>
      </c>
      <c r="G7" s="9"/>
    </row>
    <row r="8" spans="1:7" ht="37.200000000000003" customHeight="1" thickBot="1" x14ac:dyDescent="0.35">
      <c r="B8" s="6"/>
      <c r="C8" s="18" t="s">
        <v>24</v>
      </c>
      <c r="D8" s="6">
        <f>+D9</f>
        <v>0</v>
      </c>
      <c r="F8" s="8" t="s">
        <v>25</v>
      </c>
      <c r="G8" s="13"/>
    </row>
    <row r="9" spans="1:7" ht="33" customHeight="1" thickBot="1" x14ac:dyDescent="0.35">
      <c r="A9" s="16" t="s">
        <v>24</v>
      </c>
      <c r="B9" s="6">
        <f>+B10+B11</f>
        <v>0</v>
      </c>
      <c r="C9" s="19" t="s">
        <v>27</v>
      </c>
      <c r="D9" s="20"/>
      <c r="F9" s="16" t="s">
        <v>28</v>
      </c>
      <c r="G9" s="9">
        <f>G5+SUM(G6:G8)</f>
        <v>0</v>
      </c>
    </row>
    <row r="10" spans="1:7" ht="32.25" customHeight="1" thickTop="1" thickBot="1" x14ac:dyDescent="0.35">
      <c r="A10" s="8" t="s">
        <v>30</v>
      </c>
      <c r="B10" s="9"/>
      <c r="C10" s="21" t="s">
        <v>31</v>
      </c>
      <c r="D10" s="22"/>
      <c r="F10" s="8" t="s">
        <v>32</v>
      </c>
      <c r="G10" s="9"/>
    </row>
    <row r="11" spans="1:7" ht="26.4" customHeight="1" thickTop="1" x14ac:dyDescent="0.4">
      <c r="A11" s="8" t="s">
        <v>34</v>
      </c>
      <c r="B11" s="14"/>
      <c r="C11" s="23" t="s">
        <v>35</v>
      </c>
      <c r="D11" s="9"/>
      <c r="F11" s="15"/>
      <c r="G11" s="9"/>
    </row>
    <row r="12" spans="1:7" ht="32.4" customHeight="1" x14ac:dyDescent="0.4">
      <c r="A12" s="24"/>
      <c r="B12" s="14"/>
      <c r="C12" s="12" t="s">
        <v>37</v>
      </c>
      <c r="D12" s="9"/>
      <c r="F12" s="15"/>
      <c r="G12" s="9"/>
    </row>
    <row r="13" spans="1:7" ht="27" customHeight="1" x14ac:dyDescent="0.4">
      <c r="A13" s="24"/>
      <c r="B13" s="25"/>
      <c r="D13" s="15"/>
      <c r="F13" s="15"/>
      <c r="G13" s="9"/>
    </row>
    <row r="14" spans="1:7" ht="21" x14ac:dyDescent="0.4">
      <c r="A14" s="26" t="s">
        <v>38</v>
      </c>
      <c r="B14" s="27">
        <f>+B3+B9</f>
        <v>0</v>
      </c>
      <c r="C14" s="28" t="s">
        <v>39</v>
      </c>
      <c r="D14" s="29">
        <f>+D3+D8+D11+D12</f>
        <v>0</v>
      </c>
      <c r="F14" s="26" t="s">
        <v>40</v>
      </c>
      <c r="G14" s="9">
        <f>+G9+G10</f>
        <v>0</v>
      </c>
    </row>
    <row r="15" spans="1:7" ht="21" x14ac:dyDescent="0.4">
      <c r="A15" s="3"/>
      <c r="D15" s="14"/>
    </row>
    <row r="16" spans="1:7" ht="21" x14ac:dyDescent="0.4">
      <c r="A16" s="3"/>
    </row>
  </sheetData>
  <mergeCells count="3">
    <mergeCell ref="A1:C1"/>
    <mergeCell ref="F1:G1"/>
    <mergeCell ref="F2:G2"/>
  </mergeCells>
  <pageMargins left="0.51181102362204722" right="0.51181102362204722" top="0.39370078740157483" bottom="0.39370078740157483" header="0.31496062992125984" footer="0.31496062992125984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80BC-113D-43B5-8DBA-8A87B4367214}">
  <dimension ref="A1:J16"/>
  <sheetViews>
    <sheetView workbookViewId="0">
      <selection activeCell="J3" sqref="J3"/>
    </sheetView>
  </sheetViews>
  <sheetFormatPr defaultRowHeight="14.4" x14ac:dyDescent="0.3"/>
  <cols>
    <col min="1" max="1" width="23.33203125" customWidth="1"/>
    <col min="2" max="2" width="15" customWidth="1"/>
    <col min="3" max="3" width="28.88671875" customWidth="1"/>
    <col min="4" max="4" width="14.5546875" customWidth="1"/>
    <col min="5" max="5" width="6.5546875" customWidth="1"/>
    <col min="6" max="6" width="36.33203125" customWidth="1"/>
    <col min="7" max="7" width="15.44140625" customWidth="1"/>
    <col min="8" max="8" width="4" customWidth="1"/>
    <col min="9" max="9" width="6.21875" customWidth="1"/>
    <col min="10" max="10" width="56" customWidth="1"/>
    <col min="11" max="11" width="3.77734375" customWidth="1"/>
  </cols>
  <sheetData>
    <row r="1" spans="1:10" ht="21.6" thickBot="1" x14ac:dyDescent="0.45">
      <c r="A1" s="69" t="s">
        <v>0</v>
      </c>
      <c r="B1" s="69"/>
      <c r="C1" s="69"/>
      <c r="D1" s="1"/>
      <c r="F1" s="70" t="s">
        <v>1</v>
      </c>
      <c r="G1" s="70"/>
      <c r="H1" s="2"/>
    </row>
    <row r="2" spans="1:10" ht="22.2" thickTop="1" thickBot="1" x14ac:dyDescent="0.45">
      <c r="A2" s="3" t="s">
        <v>2</v>
      </c>
      <c r="B2" s="4"/>
      <c r="C2" s="1" t="s">
        <v>3</v>
      </c>
      <c r="D2" s="1"/>
      <c r="F2" s="69" t="s">
        <v>4</v>
      </c>
      <c r="G2" s="69"/>
      <c r="H2" s="2"/>
      <c r="J2" s="3" t="s">
        <v>5</v>
      </c>
    </row>
    <row r="3" spans="1:10" ht="30" customHeight="1" thickTop="1" x14ac:dyDescent="0.4">
      <c r="A3" s="5" t="s">
        <v>6</v>
      </c>
      <c r="B3" s="6">
        <f>+B4+B6+B7</f>
        <v>0</v>
      </c>
      <c r="C3" s="7" t="s">
        <v>6</v>
      </c>
      <c r="D3" s="6">
        <f>SUM(D4:D7)</f>
        <v>0</v>
      </c>
      <c r="F3" s="8" t="s">
        <v>43</v>
      </c>
      <c r="G3" s="9"/>
      <c r="H3" s="10"/>
      <c r="J3" s="65" t="s">
        <v>8</v>
      </c>
    </row>
    <row r="4" spans="1:10" ht="30.6" customHeight="1" thickBot="1" x14ac:dyDescent="0.45">
      <c r="A4" s="8" t="s">
        <v>9</v>
      </c>
      <c r="B4" s="9"/>
      <c r="C4" s="12" t="s">
        <v>10</v>
      </c>
      <c r="D4" s="9"/>
      <c r="F4" s="8" t="s">
        <v>11</v>
      </c>
      <c r="G4" s="13"/>
      <c r="H4" s="14"/>
      <c r="J4" s="65" t="s">
        <v>12</v>
      </c>
    </row>
    <row r="5" spans="1:10" ht="28.2" customHeight="1" x14ac:dyDescent="0.4">
      <c r="A5" s="15"/>
      <c r="B5" s="9"/>
      <c r="C5" s="12" t="s">
        <v>13</v>
      </c>
      <c r="D5" s="9"/>
      <c r="F5" s="16" t="s">
        <v>14</v>
      </c>
      <c r="G5" s="9">
        <f>+G3+G4</f>
        <v>0</v>
      </c>
      <c r="H5" s="10"/>
      <c r="J5" s="65" t="s">
        <v>15</v>
      </c>
    </row>
    <row r="6" spans="1:10" ht="37.200000000000003" customHeight="1" x14ac:dyDescent="0.4">
      <c r="A6" s="8" t="s">
        <v>16</v>
      </c>
      <c r="B6" s="9"/>
      <c r="C6" s="12" t="s">
        <v>17</v>
      </c>
      <c r="D6" s="9"/>
      <c r="F6" s="8" t="s">
        <v>18</v>
      </c>
      <c r="G6" s="9"/>
      <c r="H6" s="14"/>
      <c r="J6" s="65" t="s">
        <v>19</v>
      </c>
    </row>
    <row r="7" spans="1:10" ht="36" customHeight="1" x14ac:dyDescent="0.4">
      <c r="A7" s="8" t="s">
        <v>20</v>
      </c>
      <c r="B7" s="17"/>
      <c r="C7" s="8" t="s">
        <v>21</v>
      </c>
      <c r="D7" s="9"/>
      <c r="F7" s="8" t="s">
        <v>22</v>
      </c>
      <c r="G7" s="9"/>
      <c r="H7" s="14"/>
      <c r="J7" s="65" t="s">
        <v>23</v>
      </c>
    </row>
    <row r="8" spans="1:10" ht="37.200000000000003" customHeight="1" thickBot="1" x14ac:dyDescent="0.45">
      <c r="B8" s="6"/>
      <c r="C8" s="18" t="s">
        <v>24</v>
      </c>
      <c r="D8" s="6">
        <f>+D9</f>
        <v>0</v>
      </c>
      <c r="F8" s="8" t="s">
        <v>25</v>
      </c>
      <c r="G8" s="13"/>
      <c r="H8" s="14"/>
      <c r="J8" s="65" t="s">
        <v>26</v>
      </c>
    </row>
    <row r="9" spans="1:10" ht="33" customHeight="1" thickBot="1" x14ac:dyDescent="0.45">
      <c r="A9" s="16" t="s">
        <v>24</v>
      </c>
      <c r="B9" s="6">
        <f>+B10+B11</f>
        <v>0</v>
      </c>
      <c r="C9" s="19" t="s">
        <v>27</v>
      </c>
      <c r="D9" s="20"/>
      <c r="F9" s="16" t="s">
        <v>28</v>
      </c>
      <c r="G9" s="9">
        <f>G5+SUM(G6:G8)</f>
        <v>0</v>
      </c>
      <c r="H9" s="10"/>
      <c r="J9" s="65" t="s">
        <v>29</v>
      </c>
    </row>
    <row r="10" spans="1:10" ht="32.25" customHeight="1" thickTop="1" thickBot="1" x14ac:dyDescent="0.45">
      <c r="A10" s="8" t="s">
        <v>30</v>
      </c>
      <c r="B10" s="9"/>
      <c r="C10" s="21" t="s">
        <v>31</v>
      </c>
      <c r="D10" s="22"/>
      <c r="F10" s="8" t="s">
        <v>32</v>
      </c>
      <c r="G10" s="9"/>
      <c r="H10" s="14"/>
      <c r="J10" s="65" t="s">
        <v>33</v>
      </c>
    </row>
    <row r="11" spans="1:10" ht="26.4" customHeight="1" thickTop="1" x14ac:dyDescent="0.4">
      <c r="A11" s="8" t="s">
        <v>34</v>
      </c>
      <c r="B11" s="14"/>
      <c r="C11" s="23" t="s">
        <v>35</v>
      </c>
      <c r="D11" s="9"/>
      <c r="F11" s="15"/>
      <c r="G11" s="9"/>
      <c r="H11" s="10"/>
      <c r="J11" s="65" t="s">
        <v>36</v>
      </c>
    </row>
    <row r="12" spans="1:10" ht="32.4" customHeight="1" x14ac:dyDescent="0.4">
      <c r="A12" s="8" t="s">
        <v>59</v>
      </c>
      <c r="B12" s="14"/>
      <c r="C12" s="12" t="s">
        <v>37</v>
      </c>
      <c r="D12" s="9"/>
      <c r="F12" s="15"/>
      <c r="G12" s="9"/>
      <c r="H12" s="10"/>
      <c r="J12" s="64" t="s">
        <v>58</v>
      </c>
    </row>
    <row r="13" spans="1:10" ht="27" customHeight="1" x14ac:dyDescent="0.4">
      <c r="B13" s="25"/>
      <c r="D13" s="15"/>
      <c r="F13" s="15"/>
      <c r="G13" s="9"/>
      <c r="H13" s="10"/>
      <c r="J13" s="30" t="s">
        <v>41</v>
      </c>
    </row>
    <row r="14" spans="1:10" ht="25.8" x14ac:dyDescent="0.4">
      <c r="A14" s="26" t="s">
        <v>38</v>
      </c>
      <c r="B14" s="27">
        <f>+B3+B9</f>
        <v>0</v>
      </c>
      <c r="C14" s="28" t="s">
        <v>39</v>
      </c>
      <c r="D14" s="29">
        <f>+D3+D8+D11+D12</f>
        <v>0</v>
      </c>
      <c r="F14" s="26" t="s">
        <v>40</v>
      </c>
      <c r="G14" s="9">
        <f>+G9+G10</f>
        <v>0</v>
      </c>
      <c r="J14" s="30" t="s">
        <v>42</v>
      </c>
    </row>
    <row r="15" spans="1:10" ht="21" x14ac:dyDescent="0.4">
      <c r="A15" s="3"/>
      <c r="D15" s="14"/>
    </row>
    <row r="16" spans="1:10" ht="21" x14ac:dyDescent="0.4">
      <c r="A16" s="3"/>
    </row>
  </sheetData>
  <mergeCells count="3">
    <mergeCell ref="A1:C1"/>
    <mergeCell ref="F1:G1"/>
    <mergeCell ref="F2:G2"/>
  </mergeCells>
  <pageMargins left="0.51181102362204722" right="0.51181102362204722" top="0.39370078740157483" bottom="0.39370078740157483" header="0.31496062992125984" footer="0.31496062992125984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BFF4-52F8-424B-A370-6898FE5981F8}">
  <dimension ref="A1:O14"/>
  <sheetViews>
    <sheetView zoomScale="110" zoomScaleNormal="110" workbookViewId="0">
      <selection activeCell="J9" sqref="J9"/>
    </sheetView>
  </sheetViews>
  <sheetFormatPr defaultRowHeight="14.4" x14ac:dyDescent="0.3"/>
  <cols>
    <col min="1" max="1" width="6.77734375" customWidth="1"/>
    <col min="2" max="2" width="4.44140625" customWidth="1"/>
    <col min="3" max="3" width="4.77734375" customWidth="1"/>
    <col min="4" max="4" width="15.109375" customWidth="1"/>
    <col min="5" max="5" width="24.33203125" customWidth="1"/>
    <col min="6" max="6" width="5.5546875" customWidth="1"/>
    <col min="7" max="7" width="23.109375" customWidth="1"/>
    <col min="8" max="8" width="8.33203125" customWidth="1"/>
    <col min="9" max="9" width="11.109375" customWidth="1"/>
    <col min="12" max="12" width="10.6640625" bestFit="1" customWidth="1"/>
  </cols>
  <sheetData>
    <row r="1" spans="1:15" ht="21" x14ac:dyDescent="0.4">
      <c r="A1" s="3" t="s">
        <v>44</v>
      </c>
      <c r="J1" s="71" t="s">
        <v>45</v>
      </c>
      <c r="K1" s="71"/>
      <c r="L1" s="71"/>
      <c r="M1" s="71"/>
      <c r="N1" s="71"/>
      <c r="O1" s="71"/>
    </row>
    <row r="2" spans="1:15" ht="18" x14ac:dyDescent="0.35">
      <c r="A2" s="72" t="s">
        <v>46</v>
      </c>
      <c r="B2" s="72"/>
      <c r="C2" s="72"/>
      <c r="D2" s="72"/>
      <c r="E2" s="72"/>
      <c r="F2" s="72"/>
      <c r="G2" s="43"/>
      <c r="J2" s="38" t="str">
        <f>"(Para cada R$ 1,00 de dívida de curto prazo, a empresa tem "&amp;TEXT(G2,"R$ ##0,##")&amp;")"</f>
        <v>(Para cada R$ 1,00 de dívida de curto prazo, a empresa tem R$ 0,)</v>
      </c>
    </row>
    <row r="3" spans="1:15" ht="18" x14ac:dyDescent="0.35">
      <c r="A3" s="32"/>
    </row>
    <row r="4" spans="1:15" ht="18" x14ac:dyDescent="0.35">
      <c r="A4" s="72" t="s">
        <v>47</v>
      </c>
      <c r="B4" s="72"/>
      <c r="C4" s="72"/>
      <c r="D4" s="72"/>
      <c r="E4" s="72"/>
      <c r="F4" s="72"/>
      <c r="G4" s="31"/>
      <c r="J4" s="38" t="str">
        <f>"(Para cada R$ 1,00 que a empresa tem, R$ "&amp;TEXT(G4,"##0,##")&amp;" são de terceiros)"</f>
        <v>(Para cada R$ 1,00 que a empresa tem, R$ 0, são de terceiros)</v>
      </c>
    </row>
    <row r="5" spans="1:15" ht="18" x14ac:dyDescent="0.35">
      <c r="A5" s="32"/>
      <c r="L5" s="39"/>
    </row>
    <row r="6" spans="1:15" ht="18" x14ac:dyDescent="0.35">
      <c r="A6" s="72" t="s">
        <v>62</v>
      </c>
      <c r="B6" s="72"/>
      <c r="C6" s="72"/>
      <c r="D6" s="72"/>
      <c r="E6" s="72"/>
      <c r="F6" s="72"/>
      <c r="G6" s="72"/>
      <c r="H6" s="72"/>
      <c r="I6" s="33"/>
      <c r="J6" s="38" t="s">
        <v>48</v>
      </c>
    </row>
    <row r="7" spans="1:15" ht="15.6" x14ac:dyDescent="0.3">
      <c r="E7" s="34"/>
      <c r="F7" s="34"/>
      <c r="L7" s="40"/>
    </row>
    <row r="8" spans="1:15" ht="18" x14ac:dyDescent="0.35">
      <c r="A8" s="72" t="s">
        <v>60</v>
      </c>
      <c r="B8" s="72"/>
      <c r="C8" s="72"/>
      <c r="D8" s="72"/>
      <c r="E8" s="72"/>
      <c r="F8" s="72"/>
      <c r="G8" s="72"/>
      <c r="H8" s="72"/>
      <c r="I8" s="33"/>
      <c r="J8" s="38" t="s">
        <v>63</v>
      </c>
    </row>
    <row r="9" spans="1:15" x14ac:dyDescent="0.3">
      <c r="E9" s="34"/>
      <c r="F9" s="34"/>
    </row>
    <row r="10" spans="1:15" ht="18.600000000000001" thickBot="1" x14ac:dyDescent="0.4">
      <c r="E10" s="35" t="s">
        <v>50</v>
      </c>
      <c r="F10" s="36" t="s">
        <v>51</v>
      </c>
      <c r="G10" s="35" t="s">
        <v>61</v>
      </c>
      <c r="H10" s="37"/>
      <c r="J10" s="38"/>
    </row>
    <row r="11" spans="1:15" ht="23.4" customHeight="1" thickTop="1" x14ac:dyDescent="0.35">
      <c r="E11" s="36" t="s">
        <v>61</v>
      </c>
      <c r="G11" s="36" t="s">
        <v>54</v>
      </c>
    </row>
    <row r="12" spans="1:15" ht="32.4" customHeight="1" x14ac:dyDescent="0.3"/>
    <row r="13" spans="1:15" ht="18" x14ac:dyDescent="0.35">
      <c r="E13" s="36" t="s">
        <v>55</v>
      </c>
      <c r="F13" s="36" t="s">
        <v>51</v>
      </c>
      <c r="G13" s="36" t="s">
        <v>56</v>
      </c>
      <c r="H13" s="37" t="s">
        <v>53</v>
      </c>
      <c r="I13" s="33"/>
      <c r="J13" s="38" t="s">
        <v>49</v>
      </c>
    </row>
    <row r="14" spans="1:15" ht="28.8" customHeight="1" x14ac:dyDescent="0.3">
      <c r="E14" s="41"/>
      <c r="G14" s="42"/>
    </row>
  </sheetData>
  <mergeCells count="5">
    <mergeCell ref="J1:O1"/>
    <mergeCell ref="A2:F2"/>
    <mergeCell ref="A4:F4"/>
    <mergeCell ref="A6:H6"/>
    <mergeCell ref="A8:H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7EDC-7903-40E3-BAF6-16A49D6CE6AD}">
  <dimension ref="B1:T32"/>
  <sheetViews>
    <sheetView tabSelected="1" topLeftCell="E7" workbookViewId="0">
      <selection activeCell="J18" sqref="J18"/>
    </sheetView>
  </sheetViews>
  <sheetFormatPr defaultRowHeight="14.4" x14ac:dyDescent="0.3"/>
  <cols>
    <col min="1" max="1" width="6.21875" customWidth="1"/>
    <col min="2" max="2" width="64.44140625" customWidth="1"/>
    <col min="3" max="3" width="5.44140625" customWidth="1"/>
    <col min="4" max="4" width="19" customWidth="1"/>
    <col min="5" max="5" width="20.44140625" customWidth="1"/>
    <col min="6" max="6" width="17" customWidth="1"/>
    <col min="7" max="7" width="18.21875" customWidth="1"/>
    <col min="8" max="8" width="19.21875" customWidth="1"/>
    <col min="9" max="9" width="21.33203125" customWidth="1"/>
    <col min="10" max="10" width="18.44140625" customWidth="1"/>
    <col min="11" max="11" width="17.77734375" customWidth="1"/>
    <col min="12" max="12" width="8.88671875" customWidth="1"/>
    <col min="13" max="13" width="27.21875" customWidth="1"/>
    <col min="14" max="14" width="15" customWidth="1"/>
    <col min="15" max="15" width="28.88671875" customWidth="1"/>
    <col min="16" max="16" width="14.5546875" customWidth="1"/>
    <col min="17" max="17" width="4.33203125" customWidth="1"/>
    <col min="18" max="18" width="36.33203125" customWidth="1"/>
    <col min="19" max="19" width="15.44140625" customWidth="1"/>
    <col min="20" max="20" width="4" customWidth="1"/>
    <col min="21" max="21" width="3.77734375" customWidth="1"/>
  </cols>
  <sheetData>
    <row r="1" spans="2:20" ht="21.6" thickBot="1" x14ac:dyDescent="0.45">
      <c r="D1" s="3" t="s">
        <v>64</v>
      </c>
      <c r="M1" s="82" t="s">
        <v>0</v>
      </c>
      <c r="N1" s="82"/>
      <c r="O1" s="82"/>
      <c r="P1" s="83"/>
      <c r="R1" s="85" t="s">
        <v>1</v>
      </c>
      <c r="S1" s="85"/>
      <c r="T1" s="2"/>
    </row>
    <row r="2" spans="2:20" ht="22.2" thickTop="1" thickBot="1" x14ac:dyDescent="0.45">
      <c r="B2" s="3" t="s">
        <v>5</v>
      </c>
      <c r="C2" s="3"/>
      <c r="D2" s="78" t="s">
        <v>65</v>
      </c>
      <c r="E2" s="78"/>
      <c r="F2" s="78"/>
      <c r="G2" s="79"/>
      <c r="H2" s="80" t="s">
        <v>66</v>
      </c>
      <c r="I2" s="79"/>
      <c r="J2" s="80" t="s">
        <v>67</v>
      </c>
      <c r="K2" s="79"/>
      <c r="L2" s="75"/>
      <c r="M2" s="26" t="s">
        <v>2</v>
      </c>
      <c r="N2" s="84"/>
      <c r="O2" s="83" t="s">
        <v>3</v>
      </c>
      <c r="P2" s="83"/>
      <c r="R2" s="82" t="s">
        <v>4</v>
      </c>
      <c r="S2" s="82"/>
      <c r="T2" s="2"/>
    </row>
    <row r="3" spans="2:20" ht="30" customHeight="1" thickTop="1" x14ac:dyDescent="0.4">
      <c r="B3" s="11" t="s">
        <v>69</v>
      </c>
      <c r="C3" s="11"/>
      <c r="H3" s="74"/>
      <c r="I3" s="76"/>
      <c r="J3" s="74"/>
      <c r="K3" s="76"/>
      <c r="L3" s="76"/>
      <c r="M3" s="5" t="s">
        <v>6</v>
      </c>
      <c r="N3" s="6">
        <f>+N4+N5+N6+N7</f>
        <v>98000</v>
      </c>
      <c r="O3" s="7" t="s">
        <v>6</v>
      </c>
      <c r="P3" s="6">
        <f>SUM(P4:P7)</f>
        <v>68000</v>
      </c>
      <c r="R3" s="8" t="s">
        <v>43</v>
      </c>
      <c r="S3" s="9">
        <v>40000</v>
      </c>
      <c r="T3" s="10"/>
    </row>
    <row r="4" spans="2:20" ht="30.6" customHeight="1" thickBot="1" x14ac:dyDescent="0.45">
      <c r="B4" s="11" t="s">
        <v>70</v>
      </c>
      <c r="C4" s="11"/>
      <c r="D4" s="9">
        <v>100000</v>
      </c>
      <c r="E4" s="77">
        <v>80000</v>
      </c>
      <c r="F4" s="9">
        <v>40000</v>
      </c>
      <c r="H4" s="74"/>
      <c r="I4" s="77">
        <v>40000</v>
      </c>
      <c r="J4" s="74"/>
      <c r="K4" s="77">
        <v>40000</v>
      </c>
      <c r="L4" s="76"/>
      <c r="M4" s="8" t="s">
        <v>9</v>
      </c>
      <c r="N4" s="9">
        <f>100000-80000+40000-1000-21000</f>
        <v>38000</v>
      </c>
      <c r="O4" s="12" t="s">
        <v>10</v>
      </c>
      <c r="P4" s="9">
        <v>40000</v>
      </c>
      <c r="R4" s="8" t="s">
        <v>11</v>
      </c>
      <c r="S4" s="13">
        <v>-4000</v>
      </c>
      <c r="T4" s="14"/>
    </row>
    <row r="5" spans="2:20" ht="24" customHeight="1" x14ac:dyDescent="0.4">
      <c r="B5" s="11" t="s">
        <v>71</v>
      </c>
      <c r="C5" s="11"/>
      <c r="D5" s="9">
        <v>40000</v>
      </c>
      <c r="E5" s="77">
        <v>1000</v>
      </c>
      <c r="H5" s="74"/>
      <c r="I5" s="76"/>
      <c r="J5" s="74"/>
      <c r="K5" s="76"/>
      <c r="L5" s="76"/>
      <c r="M5" s="8" t="s">
        <v>16</v>
      </c>
      <c r="N5" s="9">
        <v>40000</v>
      </c>
      <c r="O5" s="12" t="s">
        <v>13</v>
      </c>
      <c r="P5" s="9">
        <v>4000</v>
      </c>
      <c r="R5" s="16" t="s">
        <v>14</v>
      </c>
      <c r="S5" s="9">
        <f>+S3+S4</f>
        <v>36000</v>
      </c>
      <c r="T5" s="10"/>
    </row>
    <row r="6" spans="2:20" ht="32.4" customHeight="1" x14ac:dyDescent="0.4">
      <c r="B6" s="11" t="s">
        <v>72</v>
      </c>
      <c r="C6" s="11"/>
      <c r="E6" s="77">
        <v>21000</v>
      </c>
      <c r="F6" s="9">
        <v>36000</v>
      </c>
      <c r="G6" s="77">
        <v>20000</v>
      </c>
      <c r="H6" s="74"/>
      <c r="I6" s="77">
        <v>4000</v>
      </c>
      <c r="J6" s="9">
        <v>4000</v>
      </c>
      <c r="K6" s="76"/>
      <c r="L6" s="76"/>
      <c r="M6" s="8" t="s">
        <v>20</v>
      </c>
      <c r="N6" s="17">
        <f>36000-20000</f>
        <v>16000</v>
      </c>
      <c r="O6" s="12" t="s">
        <v>17</v>
      </c>
      <c r="P6" s="9">
        <f>40000-20000</f>
        <v>20000</v>
      </c>
      <c r="R6" s="8" t="s">
        <v>18</v>
      </c>
      <c r="S6" s="9">
        <v>-20000</v>
      </c>
      <c r="T6" s="14"/>
    </row>
    <row r="7" spans="2:20" ht="29.4" customHeight="1" x14ac:dyDescent="0.4">
      <c r="B7" s="11" t="s">
        <v>73</v>
      </c>
      <c r="C7" s="11"/>
      <c r="H7" s="74"/>
      <c r="I7" s="76"/>
      <c r="J7" s="74"/>
      <c r="K7" s="76"/>
      <c r="L7" s="76"/>
      <c r="M7" s="8" t="s">
        <v>78</v>
      </c>
      <c r="N7" s="9">
        <v>4000</v>
      </c>
      <c r="O7" s="8" t="s">
        <v>80</v>
      </c>
      <c r="P7" s="9">
        <v>4000</v>
      </c>
      <c r="R7" s="8" t="s">
        <v>22</v>
      </c>
      <c r="S7" s="9">
        <v>-4000</v>
      </c>
      <c r="T7" s="14"/>
    </row>
    <row r="8" spans="2:20" ht="30" customHeight="1" thickBot="1" x14ac:dyDescent="0.45">
      <c r="B8" s="11" t="s">
        <v>74</v>
      </c>
      <c r="F8" s="9">
        <v>4000</v>
      </c>
      <c r="H8" s="9">
        <v>20000</v>
      </c>
      <c r="I8" s="77">
        <v>40000</v>
      </c>
      <c r="J8" s="9">
        <v>20000</v>
      </c>
      <c r="K8" s="76"/>
      <c r="L8" s="76"/>
      <c r="N8" s="6"/>
      <c r="O8" s="18" t="s">
        <v>24</v>
      </c>
      <c r="P8" s="6">
        <f>+P9</f>
        <v>0</v>
      </c>
      <c r="R8" s="8" t="s">
        <v>25</v>
      </c>
      <c r="S8" s="13">
        <v>-1000</v>
      </c>
      <c r="T8" s="14"/>
    </row>
    <row r="9" spans="2:20" ht="24.6" customHeight="1" thickBot="1" x14ac:dyDescent="0.45">
      <c r="B9" s="11" t="s">
        <v>75</v>
      </c>
      <c r="C9" s="11"/>
      <c r="H9" s="74"/>
      <c r="I9" s="76"/>
      <c r="J9" s="74"/>
      <c r="K9" s="76"/>
      <c r="L9" s="76"/>
      <c r="M9" s="16" t="s">
        <v>24</v>
      </c>
      <c r="N9" s="6">
        <f>+N10+N11</f>
        <v>80000</v>
      </c>
      <c r="O9" s="19" t="s">
        <v>27</v>
      </c>
      <c r="P9" s="20">
        <v>0</v>
      </c>
      <c r="R9" s="16" t="s">
        <v>28</v>
      </c>
      <c r="S9" s="9">
        <f>S5+SUM(S6:S8)</f>
        <v>11000</v>
      </c>
      <c r="T9" s="10"/>
    </row>
    <row r="10" spans="2:20" ht="27.6" customHeight="1" thickTop="1" thickBot="1" x14ac:dyDescent="0.45">
      <c r="B10" s="11" t="s">
        <v>76</v>
      </c>
      <c r="C10" s="11"/>
      <c r="F10" s="9">
        <v>80000</v>
      </c>
      <c r="H10" s="74"/>
      <c r="I10" s="77">
        <v>4000</v>
      </c>
      <c r="J10" s="9">
        <v>4000</v>
      </c>
      <c r="K10" s="76"/>
      <c r="L10" s="76"/>
      <c r="M10" s="8" t="s">
        <v>30</v>
      </c>
      <c r="N10" s="9">
        <v>80000</v>
      </c>
      <c r="O10" s="21" t="s">
        <v>31</v>
      </c>
      <c r="P10" s="22"/>
      <c r="R10" s="8" t="s">
        <v>32</v>
      </c>
      <c r="S10" s="9">
        <v>-1000</v>
      </c>
      <c r="T10" s="14"/>
    </row>
    <row r="11" spans="2:20" ht="26.4" customHeight="1" thickTop="1" x14ac:dyDescent="0.4">
      <c r="B11" s="11" t="s">
        <v>33</v>
      </c>
      <c r="C11" s="11"/>
      <c r="H11" s="74"/>
      <c r="I11" s="76"/>
      <c r="J11" s="74"/>
      <c r="K11" s="76"/>
      <c r="L11" s="76"/>
      <c r="M11" s="8" t="s">
        <v>34</v>
      </c>
      <c r="N11" s="14"/>
      <c r="O11" s="23" t="s">
        <v>35</v>
      </c>
      <c r="P11" s="9">
        <v>100000</v>
      </c>
      <c r="R11" s="15"/>
      <c r="S11" s="9"/>
      <c r="T11" s="10"/>
    </row>
    <row r="12" spans="2:20" ht="28.2" customHeight="1" x14ac:dyDescent="0.4">
      <c r="B12" s="11" t="s">
        <v>36</v>
      </c>
      <c r="C12" s="11"/>
      <c r="H12" s="80" t="s">
        <v>31</v>
      </c>
      <c r="I12" s="79"/>
      <c r="J12" s="9">
        <v>1000</v>
      </c>
      <c r="K12" s="76"/>
      <c r="L12" s="76"/>
      <c r="M12" s="8" t="s">
        <v>79</v>
      </c>
      <c r="N12" s="14">
        <v>0</v>
      </c>
      <c r="O12" s="12" t="s">
        <v>37</v>
      </c>
      <c r="P12" s="9">
        <v>10000</v>
      </c>
      <c r="R12" s="15"/>
      <c r="S12" s="9"/>
      <c r="T12" s="10"/>
    </row>
    <row r="13" spans="2:20" ht="27" customHeight="1" x14ac:dyDescent="0.4">
      <c r="B13" s="64" t="s">
        <v>58</v>
      </c>
      <c r="C13" s="64"/>
      <c r="H13" s="74"/>
      <c r="I13" s="76"/>
      <c r="J13" s="74"/>
      <c r="K13" s="76"/>
      <c r="L13" s="76"/>
      <c r="N13" s="25"/>
      <c r="P13" s="15"/>
      <c r="R13" s="15"/>
      <c r="S13" s="9"/>
      <c r="T13" s="10"/>
    </row>
    <row r="14" spans="2:20" ht="31.2" customHeight="1" x14ac:dyDescent="0.4">
      <c r="B14" s="30" t="s">
        <v>77</v>
      </c>
      <c r="C14" s="30"/>
      <c r="H14" s="74"/>
      <c r="I14" s="77">
        <v>100000</v>
      </c>
      <c r="J14" s="74"/>
      <c r="K14" s="76"/>
      <c r="L14" s="76"/>
      <c r="M14" s="26" t="s">
        <v>38</v>
      </c>
      <c r="N14" s="66">
        <f>+N3+N9</f>
        <v>178000</v>
      </c>
      <c r="O14" s="28" t="s">
        <v>39</v>
      </c>
      <c r="P14" s="67">
        <f>+P3+P8+P11+P12</f>
        <v>178000</v>
      </c>
      <c r="R14" s="26" t="s">
        <v>40</v>
      </c>
      <c r="S14" s="68">
        <f>+S9+S10</f>
        <v>10000</v>
      </c>
    </row>
    <row r="15" spans="2:20" ht="25.8" x14ac:dyDescent="0.4">
      <c r="B15" s="30"/>
      <c r="C15" s="30"/>
      <c r="H15" s="74"/>
      <c r="I15" s="76"/>
      <c r="J15" s="74"/>
      <c r="K15" s="76"/>
      <c r="L15" s="76"/>
      <c r="M15" s="3"/>
      <c r="P15" s="14"/>
    </row>
    <row r="16" spans="2:20" ht="25.8" x14ac:dyDescent="0.4">
      <c r="B16" s="30" t="s">
        <v>68</v>
      </c>
      <c r="H16" s="74"/>
      <c r="I16" s="77"/>
      <c r="J16" s="81">
        <v>1000</v>
      </c>
      <c r="K16" s="76"/>
      <c r="L16" s="76"/>
      <c r="M16" s="3"/>
    </row>
    <row r="17" spans="8:12" x14ac:dyDescent="0.3">
      <c r="H17" s="74"/>
      <c r="I17" s="76"/>
      <c r="J17" s="74"/>
      <c r="K17" s="76"/>
      <c r="L17" s="76"/>
    </row>
    <row r="18" spans="8:12" x14ac:dyDescent="0.3">
      <c r="H18" s="76"/>
      <c r="I18" s="76"/>
      <c r="J18" s="76"/>
      <c r="K18" s="76"/>
      <c r="L18" s="76"/>
    </row>
    <row r="19" spans="8:12" x14ac:dyDescent="0.3">
      <c r="H19" s="76"/>
      <c r="I19" s="76"/>
      <c r="J19" s="76"/>
      <c r="K19" s="76"/>
      <c r="L19" s="76"/>
    </row>
    <row r="20" spans="8:12" x14ac:dyDescent="0.3">
      <c r="H20" s="76"/>
      <c r="I20" s="76"/>
      <c r="J20" s="76"/>
      <c r="K20" s="76"/>
      <c r="L20" s="76"/>
    </row>
    <row r="21" spans="8:12" x14ac:dyDescent="0.3">
      <c r="H21" s="76"/>
      <c r="I21" s="76"/>
      <c r="J21" s="76"/>
      <c r="K21" s="76"/>
      <c r="L21" s="76"/>
    </row>
    <row r="22" spans="8:12" x14ac:dyDescent="0.3">
      <c r="H22" s="76"/>
      <c r="I22" s="76"/>
      <c r="J22" s="76"/>
      <c r="K22" s="76"/>
      <c r="L22" s="76"/>
    </row>
    <row r="23" spans="8:12" x14ac:dyDescent="0.3">
      <c r="H23" s="76"/>
      <c r="I23" s="76"/>
      <c r="J23" s="76"/>
      <c r="K23" s="76"/>
      <c r="L23" s="76"/>
    </row>
    <row r="24" spans="8:12" x14ac:dyDescent="0.3">
      <c r="J24" s="76"/>
      <c r="K24" s="76"/>
      <c r="L24" s="76"/>
    </row>
    <row r="25" spans="8:12" x14ac:dyDescent="0.3">
      <c r="H25" s="76"/>
      <c r="I25" s="76"/>
      <c r="J25" s="76"/>
      <c r="K25" s="76"/>
      <c r="L25" s="76"/>
    </row>
    <row r="26" spans="8:12" x14ac:dyDescent="0.3">
      <c r="H26" s="76"/>
      <c r="I26" s="76"/>
      <c r="J26" s="76"/>
      <c r="K26" s="76"/>
      <c r="L26" s="76"/>
    </row>
    <row r="27" spans="8:12" ht="26.4" customHeight="1" x14ac:dyDescent="0.3">
      <c r="H27" s="76"/>
      <c r="J27" s="76"/>
      <c r="K27" s="76"/>
      <c r="L27" s="76"/>
    </row>
    <row r="28" spans="8:12" x14ac:dyDescent="0.3">
      <c r="H28" s="76"/>
      <c r="I28" s="76"/>
      <c r="J28" s="76"/>
      <c r="K28" s="76"/>
      <c r="L28" s="76"/>
    </row>
    <row r="29" spans="8:12" x14ac:dyDescent="0.3">
      <c r="H29" s="76"/>
      <c r="I29" s="76"/>
      <c r="J29" s="76"/>
      <c r="K29" s="76"/>
      <c r="L29" s="76"/>
    </row>
    <row r="30" spans="8:12" x14ac:dyDescent="0.3">
      <c r="H30" s="76"/>
      <c r="I30" s="76"/>
      <c r="J30" s="76"/>
      <c r="K30" s="76"/>
      <c r="L30" s="76"/>
    </row>
    <row r="31" spans="8:12" x14ac:dyDescent="0.3">
      <c r="H31" s="76"/>
      <c r="I31" s="76"/>
      <c r="J31" s="76"/>
      <c r="K31" s="76"/>
      <c r="L31" s="76"/>
    </row>
    <row r="32" spans="8:12" x14ac:dyDescent="0.3">
      <c r="J32" s="76"/>
    </row>
  </sheetData>
  <mergeCells count="7">
    <mergeCell ref="D2:G2"/>
    <mergeCell ref="J2:K2"/>
    <mergeCell ref="M1:O1"/>
    <mergeCell ref="R1:S1"/>
    <mergeCell ref="R2:S2"/>
    <mergeCell ref="H12:I12"/>
    <mergeCell ref="H2:I2"/>
  </mergeCells>
  <pageMargins left="0.51181102362204722" right="0.51181102362204722" top="0.39370078740157483" bottom="0.39370078740157483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44F7-181C-42D9-A82A-5D6BB29E4E90}">
  <dimension ref="B1:T32"/>
  <sheetViews>
    <sheetView tabSelected="1" topLeftCell="E7" workbookViewId="0">
      <selection activeCell="J18" sqref="J18"/>
    </sheetView>
  </sheetViews>
  <sheetFormatPr defaultRowHeight="14.4" x14ac:dyDescent="0.3"/>
  <cols>
    <col min="1" max="1" width="6.21875" customWidth="1"/>
    <col min="2" max="2" width="64.44140625" customWidth="1"/>
    <col min="3" max="3" width="5.44140625" customWidth="1"/>
    <col min="4" max="4" width="19" customWidth="1"/>
    <col min="5" max="5" width="20.44140625" customWidth="1"/>
    <col min="6" max="6" width="17" customWidth="1"/>
    <col min="7" max="7" width="18.21875" customWidth="1"/>
    <col min="8" max="8" width="19.21875" customWidth="1"/>
    <col min="9" max="9" width="21.33203125" customWidth="1"/>
    <col min="10" max="10" width="18.44140625" customWidth="1"/>
    <col min="11" max="11" width="17.77734375" customWidth="1"/>
    <col min="12" max="12" width="8.88671875" customWidth="1"/>
    <col min="13" max="13" width="27.21875" customWidth="1"/>
    <col min="14" max="14" width="15" customWidth="1"/>
    <col min="15" max="15" width="28.88671875" customWidth="1"/>
    <col min="16" max="16" width="14.5546875" customWidth="1"/>
    <col min="17" max="17" width="4.33203125" customWidth="1"/>
    <col min="18" max="18" width="36.33203125" customWidth="1"/>
    <col min="19" max="19" width="15.44140625" customWidth="1"/>
    <col min="20" max="20" width="4" customWidth="1"/>
    <col min="21" max="21" width="3.77734375" customWidth="1"/>
  </cols>
  <sheetData>
    <row r="1" spans="2:20" ht="21.6" thickBot="1" x14ac:dyDescent="0.45">
      <c r="D1" s="3" t="s">
        <v>64</v>
      </c>
      <c r="M1" s="82" t="s">
        <v>0</v>
      </c>
      <c r="N1" s="82"/>
      <c r="O1" s="82"/>
      <c r="P1" s="83"/>
      <c r="R1" s="85" t="s">
        <v>1</v>
      </c>
      <c r="S1" s="85"/>
      <c r="T1" s="2"/>
    </row>
    <row r="2" spans="2:20" ht="22.2" thickTop="1" thickBot="1" x14ac:dyDescent="0.45">
      <c r="B2" s="3" t="s">
        <v>5</v>
      </c>
      <c r="C2" s="3"/>
      <c r="D2" s="78" t="s">
        <v>65</v>
      </c>
      <c r="E2" s="78"/>
      <c r="F2" s="78"/>
      <c r="G2" s="79"/>
      <c r="H2" s="80" t="s">
        <v>66</v>
      </c>
      <c r="I2" s="79"/>
      <c r="J2" s="80" t="s">
        <v>67</v>
      </c>
      <c r="K2" s="79"/>
      <c r="L2" s="75"/>
      <c r="M2" s="26" t="s">
        <v>2</v>
      </c>
      <c r="N2" s="84"/>
      <c r="O2" s="83" t="s">
        <v>3</v>
      </c>
      <c r="P2" s="83"/>
      <c r="R2" s="82" t="s">
        <v>4</v>
      </c>
      <c r="S2" s="82"/>
      <c r="T2" s="2"/>
    </row>
    <row r="3" spans="2:20" ht="30" customHeight="1" thickTop="1" x14ac:dyDescent="0.4">
      <c r="B3" s="11" t="s">
        <v>69</v>
      </c>
      <c r="C3" s="11"/>
      <c r="H3" s="74"/>
      <c r="I3" s="76"/>
      <c r="J3" s="74"/>
      <c r="K3" s="76"/>
      <c r="L3" s="76"/>
      <c r="M3" s="5" t="s">
        <v>6</v>
      </c>
      <c r="N3" s="6">
        <f>+N4+N5+N6+N7</f>
        <v>98000</v>
      </c>
      <c r="O3" s="7" t="s">
        <v>6</v>
      </c>
      <c r="P3" s="6">
        <f>SUM(P4:P7)</f>
        <v>68000</v>
      </c>
      <c r="R3" s="8" t="s">
        <v>43</v>
      </c>
      <c r="S3" s="9">
        <v>40000</v>
      </c>
      <c r="T3" s="10"/>
    </row>
    <row r="4" spans="2:20" ht="30.6" customHeight="1" thickBot="1" x14ac:dyDescent="0.45">
      <c r="B4" s="11" t="s">
        <v>70</v>
      </c>
      <c r="C4" s="11"/>
      <c r="D4" s="9">
        <v>100000</v>
      </c>
      <c r="E4" s="77">
        <v>80000</v>
      </c>
      <c r="F4" s="9">
        <v>40000</v>
      </c>
      <c r="H4" s="74"/>
      <c r="I4" s="77">
        <v>40000</v>
      </c>
      <c r="J4" s="74"/>
      <c r="K4" s="77">
        <v>40000</v>
      </c>
      <c r="L4" s="76"/>
      <c r="M4" s="8" t="s">
        <v>9</v>
      </c>
      <c r="N4" s="9">
        <f>100000-80000+40000-1000-21000</f>
        <v>38000</v>
      </c>
      <c r="O4" s="12" t="s">
        <v>10</v>
      </c>
      <c r="P4" s="9">
        <v>40000</v>
      </c>
      <c r="R4" s="8" t="s">
        <v>11</v>
      </c>
      <c r="S4" s="13">
        <v>-4000</v>
      </c>
      <c r="T4" s="14"/>
    </row>
    <row r="5" spans="2:20" ht="24" customHeight="1" x14ac:dyDescent="0.4">
      <c r="B5" s="11" t="s">
        <v>71</v>
      </c>
      <c r="C5" s="11"/>
      <c r="D5" s="9">
        <v>40000</v>
      </c>
      <c r="E5" s="77">
        <v>1000</v>
      </c>
      <c r="H5" s="74"/>
      <c r="I5" s="76"/>
      <c r="J5" s="74"/>
      <c r="K5" s="76"/>
      <c r="L5" s="76"/>
      <c r="M5" s="8" t="s">
        <v>16</v>
      </c>
      <c r="N5" s="9">
        <v>40000</v>
      </c>
      <c r="O5" s="12" t="s">
        <v>13</v>
      </c>
      <c r="P5" s="9">
        <v>4000</v>
      </c>
      <c r="R5" s="16" t="s">
        <v>14</v>
      </c>
      <c r="S5" s="9">
        <f>+S3+S4</f>
        <v>36000</v>
      </c>
      <c r="T5" s="10"/>
    </row>
    <row r="6" spans="2:20" ht="32.4" customHeight="1" x14ac:dyDescent="0.4">
      <c r="B6" s="11" t="s">
        <v>72</v>
      </c>
      <c r="C6" s="11"/>
      <c r="E6" s="77">
        <v>21000</v>
      </c>
      <c r="F6" s="9">
        <v>36000</v>
      </c>
      <c r="G6" s="77">
        <v>20000</v>
      </c>
      <c r="H6" s="74"/>
      <c r="I6" s="77">
        <v>4000</v>
      </c>
      <c r="J6" s="9">
        <v>4000</v>
      </c>
      <c r="K6" s="76"/>
      <c r="L6" s="76"/>
      <c r="M6" s="8" t="s">
        <v>20</v>
      </c>
      <c r="N6" s="17">
        <f>36000-20000</f>
        <v>16000</v>
      </c>
      <c r="O6" s="12" t="s">
        <v>17</v>
      </c>
      <c r="P6" s="9">
        <f>40000-20000</f>
        <v>20000</v>
      </c>
      <c r="R6" s="8" t="s">
        <v>18</v>
      </c>
      <c r="S6" s="9">
        <v>-20000</v>
      </c>
      <c r="T6" s="14"/>
    </row>
    <row r="7" spans="2:20" ht="29.4" customHeight="1" x14ac:dyDescent="0.4">
      <c r="B7" s="11" t="s">
        <v>73</v>
      </c>
      <c r="C7" s="11"/>
      <c r="H7" s="74"/>
      <c r="I7" s="76"/>
      <c r="J7" s="74"/>
      <c r="K7" s="76"/>
      <c r="L7" s="76"/>
      <c r="M7" s="8" t="s">
        <v>78</v>
      </c>
      <c r="N7" s="9">
        <v>4000</v>
      </c>
      <c r="O7" s="8" t="s">
        <v>80</v>
      </c>
      <c r="P7" s="9">
        <v>4000</v>
      </c>
      <c r="R7" s="8" t="s">
        <v>22</v>
      </c>
      <c r="S7" s="9">
        <v>-4000</v>
      </c>
      <c r="T7" s="14"/>
    </row>
    <row r="8" spans="2:20" ht="30" customHeight="1" thickBot="1" x14ac:dyDescent="0.45">
      <c r="B8" s="11" t="s">
        <v>74</v>
      </c>
      <c r="F8" s="9">
        <v>4000</v>
      </c>
      <c r="H8" s="9">
        <v>20000</v>
      </c>
      <c r="I8" s="77">
        <v>40000</v>
      </c>
      <c r="J8" s="9">
        <v>20000</v>
      </c>
      <c r="K8" s="76"/>
      <c r="L8" s="76"/>
      <c r="N8" s="6"/>
      <c r="O8" s="18" t="s">
        <v>24</v>
      </c>
      <c r="P8" s="6">
        <f>+P9</f>
        <v>0</v>
      </c>
      <c r="R8" s="8" t="s">
        <v>25</v>
      </c>
      <c r="S8" s="13">
        <v>-1000</v>
      </c>
      <c r="T8" s="14"/>
    </row>
    <row r="9" spans="2:20" ht="24.6" customHeight="1" thickBot="1" x14ac:dyDescent="0.45">
      <c r="B9" s="11" t="s">
        <v>75</v>
      </c>
      <c r="C9" s="11"/>
      <c r="H9" s="74"/>
      <c r="I9" s="76"/>
      <c r="J9" s="74"/>
      <c r="K9" s="76"/>
      <c r="L9" s="76"/>
      <c r="M9" s="16" t="s">
        <v>24</v>
      </c>
      <c r="N9" s="6">
        <f>+N10+N11</f>
        <v>80000</v>
      </c>
      <c r="O9" s="19" t="s">
        <v>27</v>
      </c>
      <c r="P9" s="20">
        <v>0</v>
      </c>
      <c r="R9" s="16" t="s">
        <v>28</v>
      </c>
      <c r="S9" s="9">
        <f>S5+SUM(S6:S8)</f>
        <v>11000</v>
      </c>
      <c r="T9" s="10"/>
    </row>
    <row r="10" spans="2:20" ht="27.6" customHeight="1" thickTop="1" thickBot="1" x14ac:dyDescent="0.45">
      <c r="B10" s="11" t="s">
        <v>76</v>
      </c>
      <c r="C10" s="11"/>
      <c r="F10" s="9">
        <v>80000</v>
      </c>
      <c r="H10" s="74"/>
      <c r="I10" s="77">
        <v>4000</v>
      </c>
      <c r="J10" s="9">
        <v>4000</v>
      </c>
      <c r="K10" s="76"/>
      <c r="L10" s="76"/>
      <c r="M10" s="8" t="s">
        <v>30</v>
      </c>
      <c r="N10" s="9">
        <v>80000</v>
      </c>
      <c r="O10" s="21" t="s">
        <v>31</v>
      </c>
      <c r="P10" s="22"/>
      <c r="R10" s="8" t="s">
        <v>32</v>
      </c>
      <c r="S10" s="9">
        <v>-1000</v>
      </c>
      <c r="T10" s="14"/>
    </row>
    <row r="11" spans="2:20" ht="26.4" customHeight="1" thickTop="1" x14ac:dyDescent="0.4">
      <c r="B11" s="11" t="s">
        <v>33</v>
      </c>
      <c r="C11" s="11"/>
      <c r="H11" s="74"/>
      <c r="I11" s="76"/>
      <c r="J11" s="74"/>
      <c r="K11" s="76"/>
      <c r="L11" s="76"/>
      <c r="M11" s="8" t="s">
        <v>34</v>
      </c>
      <c r="N11" s="14"/>
      <c r="O11" s="23" t="s">
        <v>35</v>
      </c>
      <c r="P11" s="9">
        <v>100000</v>
      </c>
      <c r="R11" s="15"/>
      <c r="S11" s="9"/>
      <c r="T11" s="10"/>
    </row>
    <row r="12" spans="2:20" ht="28.2" customHeight="1" x14ac:dyDescent="0.4">
      <c r="B12" s="11" t="s">
        <v>36</v>
      </c>
      <c r="C12" s="11"/>
      <c r="H12" s="80" t="s">
        <v>31</v>
      </c>
      <c r="I12" s="79"/>
      <c r="J12" s="9">
        <v>1000</v>
      </c>
      <c r="K12" s="76"/>
      <c r="L12" s="76"/>
      <c r="M12" s="8" t="s">
        <v>79</v>
      </c>
      <c r="N12" s="14">
        <v>0</v>
      </c>
      <c r="O12" s="12" t="s">
        <v>37</v>
      </c>
      <c r="P12" s="9">
        <v>10000</v>
      </c>
      <c r="R12" s="15"/>
      <c r="S12" s="9"/>
      <c r="T12" s="10"/>
    </row>
    <row r="13" spans="2:20" ht="27" customHeight="1" x14ac:dyDescent="0.4">
      <c r="B13" s="64" t="s">
        <v>58</v>
      </c>
      <c r="C13" s="64"/>
      <c r="H13" s="74"/>
      <c r="I13" s="76"/>
      <c r="J13" s="74"/>
      <c r="K13" s="76"/>
      <c r="L13" s="76"/>
      <c r="N13" s="25"/>
      <c r="P13" s="15"/>
      <c r="R13" s="15"/>
      <c r="S13" s="9"/>
      <c r="T13" s="10"/>
    </row>
    <row r="14" spans="2:20" ht="31.2" customHeight="1" x14ac:dyDescent="0.4">
      <c r="B14" s="30" t="s">
        <v>77</v>
      </c>
      <c r="C14" s="30"/>
      <c r="H14" s="74"/>
      <c r="I14" s="77">
        <v>100000</v>
      </c>
      <c r="J14" s="74"/>
      <c r="K14" s="76"/>
      <c r="L14" s="76"/>
      <c r="M14" s="26" t="s">
        <v>38</v>
      </c>
      <c r="N14" s="66">
        <f>+N3+N9</f>
        <v>178000</v>
      </c>
      <c r="O14" s="28" t="s">
        <v>39</v>
      </c>
      <c r="P14" s="67">
        <f>+P3+P8+P11+P12</f>
        <v>178000</v>
      </c>
      <c r="R14" s="26" t="s">
        <v>40</v>
      </c>
      <c r="S14" s="68">
        <f>+S9+S10</f>
        <v>10000</v>
      </c>
    </row>
    <row r="15" spans="2:20" ht="25.8" x14ac:dyDescent="0.4">
      <c r="B15" s="30"/>
      <c r="C15" s="30"/>
      <c r="H15" s="74"/>
      <c r="I15" s="76"/>
      <c r="J15" s="74"/>
      <c r="K15" s="76"/>
      <c r="L15" s="76"/>
      <c r="M15" s="3"/>
      <c r="P15" s="14"/>
    </row>
    <row r="16" spans="2:20" ht="25.8" x14ac:dyDescent="0.4">
      <c r="B16" s="30" t="s">
        <v>68</v>
      </c>
      <c r="H16" s="74"/>
      <c r="I16" s="77"/>
      <c r="J16" s="81">
        <v>1000</v>
      </c>
      <c r="K16" s="76"/>
      <c r="L16" s="76"/>
      <c r="M16" s="3"/>
    </row>
    <row r="17" spans="8:12" x14ac:dyDescent="0.3">
      <c r="H17" s="74"/>
      <c r="I17" s="76"/>
      <c r="J17" s="74"/>
      <c r="K17" s="76"/>
      <c r="L17" s="76"/>
    </row>
    <row r="18" spans="8:12" x14ac:dyDescent="0.3">
      <c r="H18" s="76"/>
      <c r="I18" s="76"/>
      <c r="J18" s="76"/>
      <c r="K18" s="76"/>
      <c r="L18" s="76"/>
    </row>
    <row r="19" spans="8:12" x14ac:dyDescent="0.3">
      <c r="H19" s="76"/>
      <c r="I19" s="76"/>
      <c r="J19" s="76"/>
      <c r="K19" s="76"/>
      <c r="L19" s="76"/>
    </row>
    <row r="20" spans="8:12" x14ac:dyDescent="0.3">
      <c r="H20" s="76"/>
      <c r="I20" s="76"/>
      <c r="J20" s="76"/>
      <c r="K20" s="76"/>
      <c r="L20" s="76"/>
    </row>
    <row r="21" spans="8:12" x14ac:dyDescent="0.3">
      <c r="H21" s="76"/>
      <c r="I21" s="76"/>
      <c r="J21" s="76"/>
      <c r="K21" s="76"/>
      <c r="L21" s="76"/>
    </row>
    <row r="22" spans="8:12" x14ac:dyDescent="0.3">
      <c r="H22" s="76"/>
      <c r="I22" s="76"/>
      <c r="J22" s="76"/>
      <c r="K22" s="76"/>
      <c r="L22" s="76"/>
    </row>
    <row r="23" spans="8:12" x14ac:dyDescent="0.3">
      <c r="H23" s="76"/>
      <c r="I23" s="76"/>
      <c r="J23" s="76"/>
      <c r="K23" s="76"/>
      <c r="L23" s="76"/>
    </row>
    <row r="24" spans="8:12" x14ac:dyDescent="0.3">
      <c r="J24" s="76"/>
      <c r="K24" s="76"/>
      <c r="L24" s="76"/>
    </row>
    <row r="25" spans="8:12" x14ac:dyDescent="0.3">
      <c r="H25" s="76"/>
      <c r="I25" s="76"/>
      <c r="J25" s="76"/>
      <c r="K25" s="76"/>
      <c r="L25" s="76"/>
    </row>
    <row r="26" spans="8:12" x14ac:dyDescent="0.3">
      <c r="H26" s="76"/>
      <c r="I26" s="76"/>
      <c r="J26" s="76"/>
      <c r="K26" s="76"/>
      <c r="L26" s="76"/>
    </row>
    <row r="27" spans="8:12" ht="26.4" customHeight="1" x14ac:dyDescent="0.3">
      <c r="H27" s="76"/>
      <c r="J27" s="76"/>
      <c r="K27" s="76"/>
      <c r="L27" s="76"/>
    </row>
    <row r="28" spans="8:12" x14ac:dyDescent="0.3">
      <c r="H28" s="76"/>
      <c r="I28" s="76"/>
      <c r="J28" s="76"/>
      <c r="K28" s="76"/>
      <c r="L28" s="76"/>
    </row>
    <row r="29" spans="8:12" x14ac:dyDescent="0.3">
      <c r="H29" s="76"/>
      <c r="I29" s="76"/>
      <c r="J29" s="76"/>
      <c r="K29" s="76"/>
      <c r="L29" s="76"/>
    </row>
    <row r="30" spans="8:12" x14ac:dyDescent="0.3">
      <c r="H30" s="76"/>
      <c r="I30" s="76"/>
      <c r="J30" s="76"/>
      <c r="K30" s="76"/>
      <c r="L30" s="76"/>
    </row>
    <row r="31" spans="8:12" x14ac:dyDescent="0.3">
      <c r="H31" s="76"/>
      <c r="I31" s="76"/>
      <c r="J31" s="76"/>
      <c r="K31" s="76"/>
      <c r="L31" s="76"/>
    </row>
    <row r="32" spans="8:12" x14ac:dyDescent="0.3">
      <c r="J32" s="76"/>
    </row>
  </sheetData>
  <mergeCells count="7">
    <mergeCell ref="H12:I12"/>
    <mergeCell ref="M1:O1"/>
    <mergeCell ref="R1:S1"/>
    <mergeCell ref="D2:G2"/>
    <mergeCell ref="H2:I2"/>
    <mergeCell ref="J2:K2"/>
    <mergeCell ref="R2:S2"/>
  </mergeCells>
  <pageMargins left="0.51181102362204722" right="0.51181102362204722" top="0.39370078740157483" bottom="0.39370078740157483" header="0.31496062992125984" footer="0.31496062992125984"/>
  <pageSetup paperSize="9" scale="9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2A73-02F8-48CD-B382-69370EF942C5}">
  <dimension ref="B1:T32"/>
  <sheetViews>
    <sheetView tabSelected="1" topLeftCell="E7" workbookViewId="0">
      <selection activeCell="J18" sqref="J18"/>
    </sheetView>
  </sheetViews>
  <sheetFormatPr defaultRowHeight="14.4" x14ac:dyDescent="0.3"/>
  <cols>
    <col min="1" max="1" width="6.21875" customWidth="1"/>
    <col min="2" max="2" width="64.44140625" customWidth="1"/>
    <col min="3" max="3" width="5.44140625" customWidth="1"/>
    <col min="4" max="4" width="19" customWidth="1"/>
    <col min="5" max="5" width="20.44140625" customWidth="1"/>
    <col min="6" max="6" width="17" customWidth="1"/>
    <col min="7" max="7" width="18.21875" customWidth="1"/>
    <col min="8" max="8" width="19.21875" customWidth="1"/>
    <col min="9" max="9" width="21.33203125" customWidth="1"/>
    <col min="10" max="10" width="18.44140625" customWidth="1"/>
    <col min="11" max="11" width="17.77734375" customWidth="1"/>
    <col min="12" max="12" width="8.88671875" customWidth="1"/>
    <col min="13" max="13" width="27.21875" customWidth="1"/>
    <col min="14" max="14" width="15" customWidth="1"/>
    <col min="15" max="15" width="28.88671875" customWidth="1"/>
    <col min="16" max="16" width="14.5546875" customWidth="1"/>
    <col min="17" max="17" width="4.33203125" customWidth="1"/>
    <col min="18" max="18" width="36.33203125" customWidth="1"/>
    <col min="19" max="19" width="15.44140625" customWidth="1"/>
    <col min="20" max="20" width="4" customWidth="1"/>
    <col min="21" max="21" width="3.77734375" customWidth="1"/>
  </cols>
  <sheetData>
    <row r="1" spans="2:20" ht="21.6" thickBot="1" x14ac:dyDescent="0.45">
      <c r="D1" s="3" t="s">
        <v>64</v>
      </c>
      <c r="M1" s="82" t="s">
        <v>0</v>
      </c>
      <c r="N1" s="82"/>
      <c r="O1" s="82"/>
      <c r="P1" s="83"/>
      <c r="R1" s="85" t="s">
        <v>1</v>
      </c>
      <c r="S1" s="85"/>
      <c r="T1" s="2"/>
    </row>
    <row r="2" spans="2:20" ht="22.2" thickTop="1" thickBot="1" x14ac:dyDescent="0.45">
      <c r="B2" s="3" t="s">
        <v>5</v>
      </c>
      <c r="C2" s="3"/>
      <c r="D2" s="78" t="s">
        <v>65</v>
      </c>
      <c r="E2" s="78"/>
      <c r="F2" s="78"/>
      <c r="G2" s="79"/>
      <c r="H2" s="80" t="s">
        <v>66</v>
      </c>
      <c r="I2" s="79"/>
      <c r="J2" s="80" t="s">
        <v>67</v>
      </c>
      <c r="K2" s="79"/>
      <c r="L2" s="75"/>
      <c r="M2" s="26" t="s">
        <v>2</v>
      </c>
      <c r="N2" s="84"/>
      <c r="O2" s="83" t="s">
        <v>3</v>
      </c>
      <c r="P2" s="83"/>
      <c r="R2" s="82" t="s">
        <v>4</v>
      </c>
      <c r="S2" s="82"/>
      <c r="T2" s="2"/>
    </row>
    <row r="3" spans="2:20" ht="30" customHeight="1" thickTop="1" x14ac:dyDescent="0.4">
      <c r="B3" s="11" t="s">
        <v>69</v>
      </c>
      <c r="C3" s="11"/>
      <c r="H3" s="74"/>
      <c r="I3" s="76"/>
      <c r="J3" s="74"/>
      <c r="K3" s="76"/>
      <c r="L3" s="76"/>
      <c r="M3" s="5" t="s">
        <v>6</v>
      </c>
      <c r="N3" s="6">
        <f>+N4+N5+N6+N7</f>
        <v>98000</v>
      </c>
      <c r="O3" s="7" t="s">
        <v>6</v>
      </c>
      <c r="P3" s="6">
        <f>SUM(P4:P7)</f>
        <v>68000</v>
      </c>
      <c r="R3" s="8" t="s">
        <v>43</v>
      </c>
      <c r="S3" s="9">
        <v>40000</v>
      </c>
      <c r="T3" s="10"/>
    </row>
    <row r="4" spans="2:20" ht="30.6" customHeight="1" thickBot="1" x14ac:dyDescent="0.45">
      <c r="B4" s="11" t="s">
        <v>70</v>
      </c>
      <c r="C4" s="11"/>
      <c r="D4" s="9">
        <v>100000</v>
      </c>
      <c r="E4" s="77">
        <v>80000</v>
      </c>
      <c r="F4" s="9">
        <v>40000</v>
      </c>
      <c r="H4" s="74"/>
      <c r="I4" s="77">
        <v>40000</v>
      </c>
      <c r="J4" s="74"/>
      <c r="K4" s="77">
        <v>40000</v>
      </c>
      <c r="L4" s="76"/>
      <c r="M4" s="8" t="s">
        <v>9</v>
      </c>
      <c r="N4" s="9">
        <f>100000-80000+40000-1000-21000</f>
        <v>38000</v>
      </c>
      <c r="O4" s="12" t="s">
        <v>10</v>
      </c>
      <c r="P4" s="9">
        <v>40000</v>
      </c>
      <c r="R4" s="8" t="s">
        <v>11</v>
      </c>
      <c r="S4" s="13">
        <v>-4000</v>
      </c>
      <c r="T4" s="14"/>
    </row>
    <row r="5" spans="2:20" ht="24" customHeight="1" x14ac:dyDescent="0.4">
      <c r="B5" s="11" t="s">
        <v>71</v>
      </c>
      <c r="C5" s="11"/>
      <c r="D5" s="9">
        <v>40000</v>
      </c>
      <c r="E5" s="77">
        <v>1000</v>
      </c>
      <c r="H5" s="74"/>
      <c r="I5" s="76"/>
      <c r="J5" s="74"/>
      <c r="K5" s="76"/>
      <c r="L5" s="76"/>
      <c r="M5" s="8" t="s">
        <v>16</v>
      </c>
      <c r="N5" s="9">
        <v>40000</v>
      </c>
      <c r="O5" s="12" t="s">
        <v>13</v>
      </c>
      <c r="P5" s="9">
        <v>4000</v>
      </c>
      <c r="R5" s="16" t="s">
        <v>14</v>
      </c>
      <c r="S5" s="9">
        <f>+S3+S4</f>
        <v>36000</v>
      </c>
      <c r="T5" s="10"/>
    </row>
    <row r="6" spans="2:20" ht="32.4" customHeight="1" x14ac:dyDescent="0.4">
      <c r="B6" s="11" t="s">
        <v>72</v>
      </c>
      <c r="C6" s="11"/>
      <c r="E6" s="77">
        <v>21000</v>
      </c>
      <c r="F6" s="9">
        <v>36000</v>
      </c>
      <c r="G6" s="77">
        <v>20000</v>
      </c>
      <c r="H6" s="74"/>
      <c r="I6" s="77">
        <v>4000</v>
      </c>
      <c r="J6" s="9">
        <v>4000</v>
      </c>
      <c r="K6" s="76"/>
      <c r="L6" s="76"/>
      <c r="M6" s="8" t="s">
        <v>20</v>
      </c>
      <c r="N6" s="17">
        <f>36000-20000</f>
        <v>16000</v>
      </c>
      <c r="O6" s="12" t="s">
        <v>17</v>
      </c>
      <c r="P6" s="9">
        <f>40000-20000</f>
        <v>20000</v>
      </c>
      <c r="R6" s="8" t="s">
        <v>18</v>
      </c>
      <c r="S6" s="9">
        <v>-20000</v>
      </c>
      <c r="T6" s="14"/>
    </row>
    <row r="7" spans="2:20" ht="29.4" customHeight="1" x14ac:dyDescent="0.4">
      <c r="B7" s="11" t="s">
        <v>73</v>
      </c>
      <c r="C7" s="11"/>
      <c r="H7" s="74"/>
      <c r="I7" s="76"/>
      <c r="J7" s="74"/>
      <c r="K7" s="76"/>
      <c r="L7" s="76"/>
      <c r="M7" s="8" t="s">
        <v>78</v>
      </c>
      <c r="N7" s="9">
        <v>4000</v>
      </c>
      <c r="O7" s="8" t="s">
        <v>80</v>
      </c>
      <c r="P7" s="9">
        <v>4000</v>
      </c>
      <c r="R7" s="8" t="s">
        <v>22</v>
      </c>
      <c r="S7" s="9">
        <v>-4000</v>
      </c>
      <c r="T7" s="14"/>
    </row>
    <row r="8" spans="2:20" ht="30" customHeight="1" thickBot="1" x14ac:dyDescent="0.45">
      <c r="B8" s="11" t="s">
        <v>74</v>
      </c>
      <c r="F8" s="9">
        <v>4000</v>
      </c>
      <c r="H8" s="9">
        <v>20000</v>
      </c>
      <c r="I8" s="77">
        <v>40000</v>
      </c>
      <c r="J8" s="9">
        <v>20000</v>
      </c>
      <c r="K8" s="76"/>
      <c r="L8" s="76"/>
      <c r="N8" s="6"/>
      <c r="O8" s="18" t="s">
        <v>24</v>
      </c>
      <c r="P8" s="6">
        <f>+P9</f>
        <v>0</v>
      </c>
      <c r="R8" s="8" t="s">
        <v>25</v>
      </c>
      <c r="S8" s="13">
        <v>-1000</v>
      </c>
      <c r="T8" s="14"/>
    </row>
    <row r="9" spans="2:20" ht="24.6" customHeight="1" thickBot="1" x14ac:dyDescent="0.45">
      <c r="B9" s="11" t="s">
        <v>75</v>
      </c>
      <c r="C9" s="11"/>
      <c r="H9" s="74"/>
      <c r="I9" s="76"/>
      <c r="J9" s="74"/>
      <c r="K9" s="76"/>
      <c r="L9" s="76"/>
      <c r="M9" s="16" t="s">
        <v>24</v>
      </c>
      <c r="N9" s="6">
        <f>+N10+N11</f>
        <v>80000</v>
      </c>
      <c r="O9" s="19" t="s">
        <v>27</v>
      </c>
      <c r="P9" s="20">
        <v>0</v>
      </c>
      <c r="R9" s="16" t="s">
        <v>28</v>
      </c>
      <c r="S9" s="9">
        <f>S5+SUM(S6:S8)</f>
        <v>11000</v>
      </c>
      <c r="T9" s="10"/>
    </row>
    <row r="10" spans="2:20" ht="27.6" customHeight="1" thickTop="1" thickBot="1" x14ac:dyDescent="0.45">
      <c r="B10" s="11" t="s">
        <v>76</v>
      </c>
      <c r="C10" s="11"/>
      <c r="F10" s="9">
        <v>80000</v>
      </c>
      <c r="H10" s="74"/>
      <c r="I10" s="77">
        <v>4000</v>
      </c>
      <c r="J10" s="9">
        <v>4000</v>
      </c>
      <c r="K10" s="76"/>
      <c r="L10" s="76"/>
      <c r="M10" s="8" t="s">
        <v>30</v>
      </c>
      <c r="N10" s="9">
        <v>80000</v>
      </c>
      <c r="O10" s="21" t="s">
        <v>31</v>
      </c>
      <c r="P10" s="22"/>
      <c r="R10" s="8" t="s">
        <v>32</v>
      </c>
      <c r="S10" s="9">
        <v>-1000</v>
      </c>
      <c r="T10" s="14"/>
    </row>
    <row r="11" spans="2:20" ht="26.4" customHeight="1" thickTop="1" x14ac:dyDescent="0.4">
      <c r="B11" s="11" t="s">
        <v>33</v>
      </c>
      <c r="C11" s="11"/>
      <c r="H11" s="74"/>
      <c r="I11" s="76"/>
      <c r="J11" s="74"/>
      <c r="K11" s="76"/>
      <c r="L11" s="76"/>
      <c r="M11" s="8" t="s">
        <v>34</v>
      </c>
      <c r="N11" s="14"/>
      <c r="O11" s="23" t="s">
        <v>35</v>
      </c>
      <c r="P11" s="9">
        <v>100000</v>
      </c>
      <c r="R11" s="15"/>
      <c r="S11" s="9"/>
      <c r="T11" s="10"/>
    </row>
    <row r="12" spans="2:20" ht="28.2" customHeight="1" x14ac:dyDescent="0.4">
      <c r="B12" s="11" t="s">
        <v>36</v>
      </c>
      <c r="C12" s="11"/>
      <c r="H12" s="80" t="s">
        <v>31</v>
      </c>
      <c r="I12" s="79"/>
      <c r="J12" s="9">
        <v>1000</v>
      </c>
      <c r="K12" s="76"/>
      <c r="L12" s="76"/>
      <c r="M12" s="8" t="s">
        <v>79</v>
      </c>
      <c r="N12" s="14">
        <v>0</v>
      </c>
      <c r="O12" s="12" t="s">
        <v>37</v>
      </c>
      <c r="P12" s="9">
        <v>10000</v>
      </c>
      <c r="R12" s="15"/>
      <c r="S12" s="9"/>
      <c r="T12" s="10"/>
    </row>
    <row r="13" spans="2:20" ht="27" customHeight="1" x14ac:dyDescent="0.4">
      <c r="B13" s="64" t="s">
        <v>58</v>
      </c>
      <c r="C13" s="64"/>
      <c r="H13" s="74"/>
      <c r="I13" s="76"/>
      <c r="J13" s="74"/>
      <c r="K13" s="76"/>
      <c r="L13" s="76"/>
      <c r="N13" s="25"/>
      <c r="P13" s="15"/>
      <c r="R13" s="15"/>
      <c r="S13" s="9"/>
      <c r="T13" s="10"/>
    </row>
    <row r="14" spans="2:20" ht="31.2" customHeight="1" x14ac:dyDescent="0.4">
      <c r="B14" s="30" t="s">
        <v>77</v>
      </c>
      <c r="C14" s="30"/>
      <c r="H14" s="74"/>
      <c r="I14" s="77">
        <v>100000</v>
      </c>
      <c r="J14" s="74"/>
      <c r="K14" s="76"/>
      <c r="L14" s="76"/>
      <c r="M14" s="26" t="s">
        <v>38</v>
      </c>
      <c r="N14" s="66">
        <f>+N3+N9</f>
        <v>178000</v>
      </c>
      <c r="O14" s="28" t="s">
        <v>39</v>
      </c>
      <c r="P14" s="67">
        <f>+P3+P8+P11+P12</f>
        <v>178000</v>
      </c>
      <c r="R14" s="26" t="s">
        <v>40</v>
      </c>
      <c r="S14" s="68">
        <f>+S9+S10</f>
        <v>10000</v>
      </c>
    </row>
    <row r="15" spans="2:20" ht="25.8" x14ac:dyDescent="0.4">
      <c r="B15" s="30"/>
      <c r="C15" s="30"/>
      <c r="H15" s="74"/>
      <c r="I15" s="76"/>
      <c r="J15" s="74"/>
      <c r="K15" s="76"/>
      <c r="L15" s="76"/>
      <c r="M15" s="3"/>
      <c r="P15" s="14"/>
    </row>
    <row r="16" spans="2:20" ht="25.8" x14ac:dyDescent="0.4">
      <c r="B16" s="30" t="s">
        <v>68</v>
      </c>
      <c r="H16" s="74"/>
      <c r="I16" s="77"/>
      <c r="J16" s="81">
        <v>1000</v>
      </c>
      <c r="K16" s="76"/>
      <c r="L16" s="76"/>
      <c r="M16" s="3"/>
    </row>
    <row r="17" spans="8:12" x14ac:dyDescent="0.3">
      <c r="H17" s="74"/>
      <c r="I17" s="76"/>
      <c r="J17" s="74"/>
      <c r="K17" s="76"/>
      <c r="L17" s="76"/>
    </row>
    <row r="18" spans="8:12" x14ac:dyDescent="0.3">
      <c r="H18" s="76"/>
      <c r="I18" s="76"/>
      <c r="J18" s="76"/>
      <c r="K18" s="76"/>
      <c r="L18" s="76"/>
    </row>
    <row r="19" spans="8:12" x14ac:dyDescent="0.3">
      <c r="H19" s="76"/>
      <c r="I19" s="76"/>
      <c r="J19" s="76"/>
      <c r="K19" s="76"/>
      <c r="L19" s="76"/>
    </row>
    <row r="20" spans="8:12" x14ac:dyDescent="0.3">
      <c r="H20" s="76"/>
      <c r="I20" s="76"/>
      <c r="J20" s="76"/>
      <c r="K20" s="76"/>
      <c r="L20" s="76"/>
    </row>
    <row r="21" spans="8:12" x14ac:dyDescent="0.3">
      <c r="H21" s="76"/>
      <c r="I21" s="76"/>
      <c r="J21" s="76"/>
      <c r="K21" s="76"/>
      <c r="L21" s="76"/>
    </row>
    <row r="22" spans="8:12" x14ac:dyDescent="0.3">
      <c r="H22" s="76"/>
      <c r="I22" s="76"/>
      <c r="J22" s="76"/>
      <c r="K22" s="76"/>
      <c r="L22" s="76"/>
    </row>
    <row r="23" spans="8:12" x14ac:dyDescent="0.3">
      <c r="H23" s="76"/>
      <c r="I23" s="76"/>
      <c r="J23" s="76"/>
      <c r="K23" s="76"/>
      <c r="L23" s="76"/>
    </row>
    <row r="24" spans="8:12" x14ac:dyDescent="0.3">
      <c r="J24" s="76"/>
      <c r="K24" s="76"/>
      <c r="L24" s="76"/>
    </row>
    <row r="25" spans="8:12" x14ac:dyDescent="0.3">
      <c r="H25" s="76"/>
      <c r="I25" s="76"/>
      <c r="J25" s="76"/>
      <c r="K25" s="76"/>
      <c r="L25" s="76"/>
    </row>
    <row r="26" spans="8:12" x14ac:dyDescent="0.3">
      <c r="H26" s="76"/>
      <c r="I26" s="76"/>
      <c r="J26" s="76"/>
      <c r="K26" s="76"/>
      <c r="L26" s="76"/>
    </row>
    <row r="27" spans="8:12" ht="26.4" customHeight="1" x14ac:dyDescent="0.3">
      <c r="H27" s="76"/>
      <c r="J27" s="76"/>
      <c r="K27" s="76"/>
      <c r="L27" s="76"/>
    </row>
    <row r="28" spans="8:12" x14ac:dyDescent="0.3">
      <c r="H28" s="76"/>
      <c r="I28" s="76"/>
      <c r="J28" s="76"/>
      <c r="K28" s="76"/>
      <c r="L28" s="76"/>
    </row>
    <row r="29" spans="8:12" x14ac:dyDescent="0.3">
      <c r="H29" s="76"/>
      <c r="I29" s="76"/>
      <c r="J29" s="76"/>
      <c r="K29" s="76"/>
      <c r="L29" s="76"/>
    </row>
    <row r="30" spans="8:12" x14ac:dyDescent="0.3">
      <c r="H30" s="76"/>
      <c r="I30" s="76"/>
      <c r="J30" s="76"/>
      <c r="K30" s="76"/>
      <c r="L30" s="76"/>
    </row>
    <row r="31" spans="8:12" x14ac:dyDescent="0.3">
      <c r="H31" s="76"/>
      <c r="I31" s="76"/>
      <c r="J31" s="76"/>
      <c r="K31" s="76"/>
      <c r="L31" s="76"/>
    </row>
    <row r="32" spans="8:12" x14ac:dyDescent="0.3">
      <c r="J32" s="76"/>
    </row>
  </sheetData>
  <mergeCells count="7">
    <mergeCell ref="H12:I12"/>
    <mergeCell ref="M1:O1"/>
    <mergeCell ref="R1:S1"/>
    <mergeCell ref="D2:G2"/>
    <mergeCell ref="H2:I2"/>
    <mergeCell ref="J2:K2"/>
    <mergeCell ref="R2:S2"/>
  </mergeCells>
  <pageMargins left="0.51181102362204722" right="0.51181102362204722" top="0.39370078740157483" bottom="0.39370078740157483" header="0.31496062992125984" footer="0.31496062992125984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C34F-A69B-456D-9D8C-59112CFFAEC9}">
  <dimension ref="A1:O14"/>
  <sheetViews>
    <sheetView zoomScale="110" zoomScaleNormal="110" workbookViewId="0">
      <selection activeCell="G2" sqref="G2"/>
    </sheetView>
  </sheetViews>
  <sheetFormatPr defaultRowHeight="14.4" x14ac:dyDescent="0.3"/>
  <cols>
    <col min="1" max="1" width="6.77734375" customWidth="1"/>
    <col min="2" max="2" width="4.44140625" customWidth="1"/>
    <col min="3" max="3" width="4.77734375" customWidth="1"/>
    <col min="4" max="4" width="15.109375" customWidth="1"/>
    <col min="5" max="5" width="24.33203125" customWidth="1"/>
    <col min="6" max="6" width="5.5546875" customWidth="1"/>
    <col min="7" max="7" width="21.77734375" customWidth="1"/>
    <col min="8" max="8" width="6" customWidth="1"/>
    <col min="9" max="9" width="11.109375" customWidth="1"/>
    <col min="12" max="12" width="10.6640625" bestFit="1" customWidth="1"/>
  </cols>
  <sheetData>
    <row r="1" spans="1:15" ht="21" x14ac:dyDescent="0.4">
      <c r="A1" s="3" t="s">
        <v>44</v>
      </c>
      <c r="J1" s="73" t="s">
        <v>45</v>
      </c>
      <c r="K1" s="73"/>
      <c r="L1" s="73"/>
      <c r="M1" s="73"/>
      <c r="N1" s="73"/>
      <c r="O1" s="73"/>
    </row>
    <row r="2" spans="1:15" ht="18" x14ac:dyDescent="0.35">
      <c r="A2" s="72" t="s">
        <v>46</v>
      </c>
      <c r="B2" s="72"/>
      <c r="C2" s="72"/>
      <c r="D2" s="72"/>
      <c r="E2" s="72"/>
      <c r="F2" s="72"/>
      <c r="G2" s="31">
        <f>'Fatos contábeis'!N3/'Fatos contábeis'!P3</f>
        <v>1.4411764705882353</v>
      </c>
      <c r="J2" s="38" t="str">
        <f>"(Para cada R$ 1,00 de dívida de curto prazo, a empresa tem "&amp;TEXT(G2,"R$ ##0,##")&amp;")"</f>
        <v>(Para cada R$ 1,00 de dívida de curto prazo, a empresa tem R$ 1,44)</v>
      </c>
    </row>
    <row r="3" spans="1:15" ht="18" x14ac:dyDescent="0.35">
      <c r="A3" s="32"/>
      <c r="J3" s="63"/>
    </row>
    <row r="4" spans="1:15" ht="18" x14ac:dyDescent="0.35">
      <c r="A4" s="72" t="s">
        <v>47</v>
      </c>
      <c r="B4" s="72"/>
      <c r="C4" s="72"/>
      <c r="D4" s="72"/>
      <c r="E4" s="72"/>
      <c r="F4" s="72"/>
      <c r="G4" s="31">
        <f>(+'Fatos contábeis'!P3+'Fatos contábeis'!P8)/'Fatos contábeis'!N14</f>
        <v>0.38202247191011235</v>
      </c>
      <c r="J4" s="38" t="str">
        <f>"(Para cada R$ 1,00 que a empresa tem, R$ "&amp;TEXT(G4,"##0,##")&amp;" são de terceiros)"</f>
        <v>(Para cada R$ 1,00 que a empresa tem, R$ 0,38 são de terceiros)</v>
      </c>
    </row>
    <row r="5" spans="1:15" ht="18" x14ac:dyDescent="0.35">
      <c r="A5" s="32"/>
      <c r="J5" s="63"/>
      <c r="L5" s="39"/>
    </row>
    <row r="6" spans="1:15" ht="18" x14ac:dyDescent="0.35">
      <c r="A6" s="72" t="s">
        <v>57</v>
      </c>
      <c r="B6" s="72"/>
      <c r="C6" s="72"/>
      <c r="D6" s="72"/>
      <c r="E6" s="72"/>
      <c r="F6" s="72"/>
      <c r="G6" s="72"/>
      <c r="H6" s="72"/>
      <c r="I6" s="33">
        <f>+'Fatos contábeis'!S9/'Fatos contábeis'!S5</f>
        <v>0.30555555555555558</v>
      </c>
      <c r="J6" s="38" t="s">
        <v>48</v>
      </c>
    </row>
    <row r="7" spans="1:15" ht="15.6" x14ac:dyDescent="0.3">
      <c r="E7" s="34"/>
      <c r="F7" s="34"/>
      <c r="J7" s="63"/>
      <c r="L7" s="40"/>
    </row>
    <row r="8" spans="1:15" ht="18" x14ac:dyDescent="0.35">
      <c r="A8" s="72" t="s">
        <v>60</v>
      </c>
      <c r="B8" s="72"/>
      <c r="C8" s="72"/>
      <c r="D8" s="72"/>
      <c r="E8" s="72"/>
      <c r="F8" s="72"/>
      <c r="G8" s="72"/>
      <c r="H8" s="72"/>
      <c r="I8" s="33">
        <f>+'Fatos contábeis'!S14/'Fatos contábeis'!N14</f>
        <v>5.6179775280898875E-2</v>
      </c>
      <c r="J8" s="38" t="s">
        <v>49</v>
      </c>
    </row>
    <row r="9" spans="1:15" x14ac:dyDescent="0.3">
      <c r="E9" s="34"/>
      <c r="F9" s="34"/>
      <c r="J9" s="63"/>
    </row>
    <row r="10" spans="1:15" ht="18.600000000000001" thickBot="1" x14ac:dyDescent="0.4">
      <c r="E10" s="35" t="s">
        <v>50</v>
      </c>
      <c r="F10" s="36" t="s">
        <v>51</v>
      </c>
      <c r="G10" s="35" t="s">
        <v>52</v>
      </c>
      <c r="H10" s="37" t="s">
        <v>53</v>
      </c>
      <c r="I10" s="33">
        <f>+'Fatos contábeis'!S14/'Fatos contábeis'!S5*'Fatos contábeis'!S5/'Fatos contábeis'!N14</f>
        <v>5.6179775280898875E-2</v>
      </c>
      <c r="J10" s="38" t="s">
        <v>49</v>
      </c>
    </row>
    <row r="11" spans="1:15" ht="23.4" customHeight="1" thickTop="1" x14ac:dyDescent="0.35">
      <c r="E11" s="36" t="s">
        <v>52</v>
      </c>
      <c r="G11" s="36" t="s">
        <v>54</v>
      </c>
      <c r="J11" s="63"/>
    </row>
    <row r="12" spans="1:15" ht="32.4" customHeight="1" x14ac:dyDescent="0.3">
      <c r="J12" s="63"/>
    </row>
    <row r="13" spans="1:15" ht="18" x14ac:dyDescent="0.35">
      <c r="E13" s="36" t="s">
        <v>55</v>
      </c>
      <c r="F13" s="36" t="s">
        <v>51</v>
      </c>
      <c r="G13" s="36" t="s">
        <v>56</v>
      </c>
      <c r="H13" s="37" t="s">
        <v>53</v>
      </c>
      <c r="I13" s="33">
        <f>+E14*G14</f>
        <v>5.6179775280898875E-2</v>
      </c>
      <c r="J13" s="38" t="s">
        <v>49</v>
      </c>
    </row>
    <row r="14" spans="1:15" ht="28.8" customHeight="1" x14ac:dyDescent="0.3">
      <c r="E14" s="41">
        <f>('Fatos contábeis'!S14/'Fatos contábeis'!S5)</f>
        <v>0.27777777777777779</v>
      </c>
      <c r="G14" s="42">
        <f>'Fatos contábeis'!S5/'Fatos contábeis'!N14</f>
        <v>0.20224719101123595</v>
      </c>
      <c r="J14" s="63"/>
    </row>
  </sheetData>
  <mergeCells count="5">
    <mergeCell ref="J1:O1"/>
    <mergeCell ref="A2:F2"/>
    <mergeCell ref="A4:F4"/>
    <mergeCell ref="A6:H6"/>
    <mergeCell ref="A8:H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FFBCDEB5A78045A447306B62002CA7" ma:contentTypeVersion="7" ma:contentTypeDescription="Crie um novo documento." ma:contentTypeScope="" ma:versionID="0d3c25cfa6b0c8dd29642559371d8d62">
  <xsd:schema xmlns:xsd="http://www.w3.org/2001/XMLSchema" xmlns:xs="http://www.w3.org/2001/XMLSchema" xmlns:p="http://schemas.microsoft.com/office/2006/metadata/properties" xmlns:ns2="fb887d4e-b8dd-4ada-9dd9-7a619de58c24" targetNamespace="http://schemas.microsoft.com/office/2006/metadata/properties" ma:root="true" ma:fieldsID="f3c6804ea455e349bec713077669e59c" ns2:_="">
    <xsd:import namespace="fb887d4e-b8dd-4ada-9dd9-7a619de58c2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87d4e-b8dd-4ada-9dd9-7a619de58c2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b887d4e-b8dd-4ada-9dd9-7a619de58c24" xsi:nil="true"/>
  </documentManagement>
</p:properties>
</file>

<file path=customXml/itemProps1.xml><?xml version="1.0" encoding="utf-8"?>
<ds:datastoreItem xmlns:ds="http://schemas.openxmlformats.org/officeDocument/2006/customXml" ds:itemID="{15433824-E775-4038-8B8D-0CA996F9EA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887d4e-b8dd-4ada-9dd9-7a619de58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8C306C-C4BF-4286-9154-AE3F33900E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D69D7D-C70C-4B0C-85CF-686792A6A9E1}">
  <ds:schemaRefs>
    <ds:schemaRef ds:uri="http://schemas.microsoft.com/office/2006/metadata/properties"/>
    <ds:schemaRef ds:uri="http://schemas.microsoft.com/office/infopath/2007/PartnerControls"/>
    <ds:schemaRef ds:uri="fb887d4e-b8dd-4ada-9dd9-7a619de58c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Demonstr. Financ.</vt:lpstr>
      <vt:lpstr>Fluxos</vt:lpstr>
      <vt:lpstr>Balanço e resultado - Aula</vt:lpstr>
      <vt:lpstr>Indicadores (exercício)</vt:lpstr>
      <vt:lpstr>Fatos contábeis</vt:lpstr>
      <vt:lpstr>Razonetes</vt:lpstr>
      <vt:lpstr>Balanço e resultado</vt:lpstr>
      <vt:lpstr>Indicadores</vt:lpstr>
      <vt:lpstr>'Balanço e resultado'!Area_de_impressao</vt:lpstr>
      <vt:lpstr>'Balanço e resultado - Aula'!Area_de_impressao</vt:lpstr>
      <vt:lpstr>'Demonstr. Financ.'!Area_de_impressao</vt:lpstr>
      <vt:lpstr>'Fatos contábeis'!Area_de_impressao</vt:lpstr>
      <vt:lpstr>Fluxos!Area_de_impressao</vt:lpstr>
      <vt:lpstr>Razonetes!Area_de_impressao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Flavio Morgado</cp:lastModifiedBy>
  <dcterms:created xsi:type="dcterms:W3CDTF">2020-11-03T02:34:56Z</dcterms:created>
  <dcterms:modified xsi:type="dcterms:W3CDTF">2024-06-25T16:59:39Z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0x010100F3FFBCDEB5A78045A447306B62002CA7</vt:lpwstr>
  </property>
</Properties>
</file>